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Analyst\Excel\Projects\Main Marketing - 3\"/>
    </mc:Choice>
  </mc:AlternateContent>
  <xr:revisionPtr revIDLastSave="0" documentId="13_ncr:1_{5B93FA08-ED34-4F6F-92B4-B51F698CAD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" sheetId="5" r:id="rId1"/>
    <sheet name="Dashboard" sheetId="6" r:id="rId2"/>
    <sheet name="Main_Table1" sheetId="4" r:id="rId3"/>
  </sheets>
  <definedNames>
    <definedName name="ExternalData_1" localSheetId="2" hidden="1">Main_Table1!$A$1:$Z$351</definedName>
    <definedName name="Main_Table">Main_Table1[#All]</definedName>
  </definedNames>
  <calcPr calcId="191029"/>
  <pivotCaches>
    <pivotCache cacheId="0" r:id="rId4"/>
  </pivotCaches>
  <extLst>
    <ext xmlns:x15="http://schemas.microsoft.com/office/spreadsheetml/2010/11/main" uri="{FCE2AD5D-F65C-4FA6-A056-5C36A1767C68}">
      <x15:dataModel>
        <x15:modelTables>
          <x15:modelTable id="Table1_9750ff6a-df80-4ea5-96e4-c9b02e10198e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BA359F-4944-4F17-B47D-8C396C03ECE8}" keepAlive="1" name="ModelConnection_ExternalData_1" description="Data Model" type="5" refreshedVersion="7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CABF6A2-4B7F-451B-BD37-68DE314CD760}" name="Query - Table1" description="Connection to the 'Table1' query in the workbook." type="100" refreshedVersion="7" minRefreshableVersion="5">
    <extLst>
      <ext xmlns:x15="http://schemas.microsoft.com/office/spreadsheetml/2010/11/main" uri="{DE250136-89BD-433C-8126-D09CA5730AF9}">
        <x15:connection id="3288b183-bad6-4eac-a6dc-034f32e50b9b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3" xr16:uid="{5EFDD383-6186-4D21-8FD2-7E6200B0D0F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<sst xmlns="http://schemas.openxmlformats.org/spreadsheetml/2006/main" count="2594" uniqueCount="413">
  <si>
    <t>Campaign_ID</t>
  </si>
  <si>
    <t>Campaign_Name</t>
  </si>
  <si>
    <t>Start_Date</t>
  </si>
  <si>
    <t>End_Date</t>
  </si>
  <si>
    <t>Marketing_Channel</t>
  </si>
  <si>
    <t>Region</t>
  </si>
  <si>
    <t>Target_Audience_Age</t>
  </si>
  <si>
    <t>Gender</t>
  </si>
  <si>
    <t>Ad_Spend</t>
  </si>
  <si>
    <t>Impressions</t>
  </si>
  <si>
    <t>Clicks</t>
  </si>
  <si>
    <t>Conversions</t>
  </si>
  <si>
    <t>Revenue_Generated</t>
  </si>
  <si>
    <t>Device_Type</t>
  </si>
  <si>
    <t>Customer_Satisfaction_Score</t>
  </si>
  <si>
    <t>Bounce_Rate(%)</t>
  </si>
  <si>
    <t>Profit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</si>
  <si>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</si>
  <si>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</si>
  <si>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</si>
  <si>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</si>
  <si>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</si>
  <si>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</si>
  <si>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</si>
  <si>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</si>
  <si>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</si>
  <si>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</si>
  <si>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</si>
  <si>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</si>
  <si>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</si>
  <si>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</si>
  <si>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</si>
  <si>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</si>
  <si>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</si>
  <si>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</si>
  <si>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</si>
  <si>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</si>
  <si>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</si>
  <si>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</si>
  <si>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</si>
  <si>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</si>
  <si>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</si>
  <si>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</si>
  <si>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</si>
  <si>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</si>
  <si>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</si>
  <si>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</si>
  <si>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</si>
  <si>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</si>
  <si>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</si>
  <si>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</si>
  <si>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</si>
  <si>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</si>
  <si>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</si>
  <si>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</si>
  <si>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</si>
  <si>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</si>
  <si>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</si>
  <si>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</si>
  <si>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</si>
  <si>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</si>
  <si>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</si>
  <si>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</si>
  <si>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</si>
  <si>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</si>
  <si>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</si>
  <si>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</si>
  <si>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</si>
  <si>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</si>
  <si>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</si>
  <si>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</si>
  <si>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</si>
  <si>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</si>
  <si>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</si>
  <si>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</si>
  <si>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</si>
  <si>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</si>
  <si>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</si>
  <si>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</si>
  <si>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</si>
  <si>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</si>
  <si>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</si>
  <si>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</si>
  <si>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</si>
  <si>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</si>
  <si>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</si>
  <si>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</si>
  <si>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</si>
  <si>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</si>
  <si>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</si>
  <si>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</si>
  <si>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</si>
  <si>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</si>
  <si>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</si>
  <si>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</si>
  <si>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</si>
  <si>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</si>
  <si>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</si>
  <si>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</si>
  <si>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</si>
  <si>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</si>
  <si>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</si>
  <si>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</si>
  <si>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</si>
  <si>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</si>
  <si>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</si>
  <si>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</si>
  <si>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</si>
  <si>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</si>
  <si>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</si>
  <si>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</si>
  <si>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</si>
  <si>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</si>
  <si>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</si>
  <si>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</si>
  <si>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</si>
  <si>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</si>
  <si>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</si>
  <si>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</si>
  <si>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</si>
  <si>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</si>
  <si>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</si>
  <si>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</si>
  <si>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</si>
  <si>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</si>
  <si>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</si>
  <si>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</si>
  <si>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</si>
  <si>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</si>
  <si>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</si>
  <si>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</si>
  <si>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</si>
  <si>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</si>
  <si>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</si>
  <si>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</si>
  <si>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</si>
  <si>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</si>
  <si>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</si>
  <si>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</si>
  <si>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</si>
  <si>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</si>
  <si>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</si>
  <si>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</si>
  <si>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</si>
  <si>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</si>
  <si>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</si>
  <si>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</si>
  <si>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</si>
  <si>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</si>
  <si>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</si>
  <si>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</si>
  <si>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</si>
  <si>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</si>
  <si>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</si>
  <si>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</si>
  <si>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</si>
  <si>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</si>
  <si>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</si>
  <si>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</si>
  <si>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</si>
  <si>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</si>
  <si>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</si>
  <si>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</si>
  <si>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</si>
  <si>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</si>
  <si>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</si>
  <si>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</si>
  <si>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</si>
  <si>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</si>
  <si>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</si>
  <si>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</si>
  <si>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</si>
  <si>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</si>
  <si>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</si>
  <si>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</si>
  <si>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</si>
  <si>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</si>
  <si>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</si>
  <si>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</si>
  <si>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</si>
  <si>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</si>
  <si>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</si>
  <si>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</si>
  <si>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</si>
  <si>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</si>
  <si>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</si>
  <si>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</si>
  <si>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</si>
  <si>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</si>
  <si>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</si>
  <si>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</si>
  <si>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</si>
  <si>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</si>
  <si>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</si>
  <si>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</si>
  <si>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</si>
  <si>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</si>
  <si>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</si>
  <si>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</si>
  <si>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</si>
  <si>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</si>
  <si>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</si>
  <si>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</si>
  <si>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</si>
  <si>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</si>
  <si>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</si>
  <si>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</si>
  <si>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</si>
  <si>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</si>
  <si>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</si>
  <si>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</si>
  <si>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</si>
  <si>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</si>
  <si>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</si>
  <si>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</si>
  <si>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</si>
  <si>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</si>
  <si>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</si>
  <si>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</si>
  <si>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</si>
  <si>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</si>
  <si>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</si>
  <si>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</si>
  <si>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</si>
  <si>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</si>
  <si>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</si>
  <si>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</si>
  <si>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</si>
  <si>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</si>
  <si>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</si>
  <si>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</si>
  <si>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</si>
  <si>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</si>
  <si>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</si>
  <si>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</si>
  <si>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</si>
  <si>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</si>
  <si>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</si>
  <si>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</si>
  <si>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</si>
  <si>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</si>
  <si>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</si>
  <si>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</si>
  <si>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</si>
  <si>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</si>
  <si>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</si>
  <si>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</si>
  <si>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</si>
  <si>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</si>
  <si>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</si>
  <si>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</si>
  <si>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</si>
  <si>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</si>
  <si>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</si>
  <si>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</si>
  <si>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</si>
  <si>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</si>
  <si>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</si>
  <si>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</si>
  <si>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</si>
  <si>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</si>
  <si>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</si>
  <si>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</si>
  <si>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</si>
  <si>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</si>
  <si>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</si>
  <si>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</si>
  <si>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</si>
  <si>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</si>
  <si>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</si>
  <si>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</si>
  <si>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</si>
  <si>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</si>
  <si>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</si>
  <si>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</si>
  <si>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</si>
  <si>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</si>
  <si>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</si>
  <si>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</si>
  <si>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</si>
  <si>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</si>
  <si>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</si>
  <si>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</si>
  <si>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</si>
  <si>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</si>
  <si>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</si>
  <si>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</si>
  <si>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</si>
  <si>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</si>
  <si>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</si>
  <si>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</si>
  <si>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</si>
  <si>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</si>
  <si>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</si>
  <si>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</si>
  <si>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</si>
  <si>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</si>
  <si>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</si>
  <si>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</si>
  <si>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</si>
  <si>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</si>
  <si>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</si>
  <si>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</si>
  <si>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</si>
  <si>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</si>
  <si>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</si>
  <si>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</si>
  <si>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</si>
  <si>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</si>
  <si>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</si>
  <si>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</si>
  <si>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</si>
  <si>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</si>
  <si>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</si>
  <si>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</si>
  <si>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</si>
  <si>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</si>
  <si>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</si>
  <si>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</si>
  <si>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</si>
  <si>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</si>
  <si>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</si>
  <si>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</si>
  <si>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</si>
  <si>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</si>
  <si>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</si>
  <si>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</si>
  <si>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</si>
  <si>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</si>
  <si>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</si>
  <si>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</si>
  <si>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</si>
  <si>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</si>
  <si>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</si>
  <si>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</si>
  <si>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</si>
  <si>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</si>
  <si>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</si>
  <si>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</si>
  <si>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</si>
  <si>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</si>
  <si>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</si>
  <si>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</si>
  <si>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</si>
  <si>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</si>
  <si>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</si>
  <si>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</si>
  <si>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</si>
  <si>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</si>
  <si>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</si>
  <si>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</si>
  <si>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</si>
  <si>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</si>
  <si>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</si>
  <si>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</si>
  <si>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</si>
  <si>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</si>
  <si>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</si>
  <si>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</si>
  <si>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</si>
  <si>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</si>
  <si>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</si>
  <si>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</si>
  <si>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</si>
  <si>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</si>
  <si>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</si>
  <si>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</si>
  <si>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Year End Clearance</t>
  </si>
  <si>
    <t>Mega Discount Days</t>
  </si>
  <si>
    <t>New Launch</t>
  </si>
  <si>
    <t>Festive Offer</t>
  </si>
  <si>
    <t>Summer Sale</t>
  </si>
  <si>
    <t>SEO</t>
  </si>
  <si>
    <t>Email</t>
  </si>
  <si>
    <t>Social Media</t>
  </si>
  <si>
    <t>Influencer</t>
  </si>
  <si>
    <t>Google Ads</t>
  </si>
  <si>
    <t>TV</t>
  </si>
  <si>
    <t>West</t>
  </si>
  <si>
    <t>North</t>
  </si>
  <si>
    <t>East</t>
  </si>
  <si>
    <t>South</t>
  </si>
  <si>
    <t>18-25</t>
  </si>
  <si>
    <t>26-35</t>
  </si>
  <si>
    <t>46+</t>
  </si>
  <si>
    <t>36-45</t>
  </si>
  <si>
    <t>Female</t>
  </si>
  <si>
    <t>Other</t>
  </si>
  <si>
    <t>Male</t>
  </si>
  <si>
    <t>Mobile</t>
  </si>
  <si>
    <t>Desktop</t>
  </si>
  <si>
    <t>Tablet</t>
  </si>
  <si>
    <t>Engagement Rate %</t>
  </si>
  <si>
    <t>Conversion Rate %</t>
  </si>
  <si>
    <t>CAC</t>
  </si>
  <si>
    <t>Return on Ad spend</t>
  </si>
  <si>
    <t>New End Date</t>
  </si>
  <si>
    <t>Campaign Duration</t>
  </si>
  <si>
    <t>Revenue per click</t>
  </si>
  <si>
    <t>Sum of Return on Ad spend</t>
  </si>
  <si>
    <t>Row Labels</t>
  </si>
  <si>
    <t>Grand Total</t>
  </si>
  <si>
    <t>Sum of Profit</t>
  </si>
  <si>
    <t>Conversions per ₹ Spent</t>
  </si>
  <si>
    <t>Average of Customer_Satisfaction_Score</t>
  </si>
  <si>
    <t>Average of Engagement Rate %</t>
  </si>
  <si>
    <t>Average of CAC</t>
  </si>
  <si>
    <t>Sum of Ad_Spend</t>
  </si>
  <si>
    <t>Sum of Revenue_Generated</t>
  </si>
  <si>
    <t>Ad_spend % of revenue</t>
  </si>
  <si>
    <t>Average of Conversion Rate %</t>
  </si>
  <si>
    <t>Average of Bounce_Rate(%)</t>
  </si>
  <si>
    <t>Engagement rate %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</si>
</sst>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0000"/>
    <numFmt numFmtId="166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9" fontId="0" fillId="0" borderId="0" xfId="1" applyFont="1"/>
    <xf numFmtId="9" fontId="0" fillId="0" borderId="0" xfId="0" applyNumberFormat="1"/>
    <xf numFmtId="2" fontId="0" fillId="0" borderId="0" xfId="1" applyNumberFormat="1" applyFont="1"/>
    <xf numFmtId="0" fontId="0" fillId="2" borderId="0" xfId="0" applyFill="1"/>
    <xf numFmtId="166" fontId="0" fillId="0" borderId="0" xfId="0" applyNumberFormat="1"/>
    <xf numFmtId="10" fontId="0" fillId="0" borderId="0" xfId="0" applyNumberFormat="1"/>
    <xf numFmtId="2" fontId="1" fillId="0" borderId="1" xfId="1" applyNumberFormat="1" applyFont="1" applyBorder="1" applyAlignment="1">
      <alignment horizontal="center" vertical="top"/>
    </xf>
    <xf numFmtId="43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1" fillId="0" borderId="3" xfId="0" applyNumberFormat="1" applyFont="1" applyFill="1" applyBorder="1"/>
    <xf numFmtId="9" fontId="1" fillId="0" borderId="2" xfId="0" applyNumberFormat="1" applyFont="1" applyFill="1" applyBorder="1"/>
    <xf numFmtId="0" fontId="3" fillId="0" borderId="0" xfId="0" applyFont="1" applyAlignment="1"/>
    <xf numFmtId="0" fontId="1" fillId="0" borderId="3" xfId="0" applyFont="1" applyFill="1" applyBorder="1" applyAlignment="1">
      <alignment horizontal="left"/>
    </xf>
    <xf numFmtId="0" fontId="1" fillId="0" borderId="2" xfId="0" applyFont="1" applyFill="1" applyBorder="1"/>
  </cellXfs>
  <cellStyles count="2">
    <cellStyle name="Normal" xfId="0" builtinId="0"/>
    <cellStyle name="Per cent" xfId="1" builtinId="5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0.00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64" formatCode="0.00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0.00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6" formatCode="_ * #,##0_ ;_ * \-#,##0_ ;_ * &quot;-&quot;??_ ;_ @_ "/>
    </dxf>
    <dxf>
      <numFmt numFmtId="14" formatCode="0.00%"/>
    </dxf>
    <dxf>
      <numFmt numFmtId="14" formatCode="0.00%"/>
    </dxf>
    <dxf>
      <numFmt numFmtId="2" formatCode="0.00"/>
    </dxf>
    <dxf>
      <numFmt numFmtId="164" formatCode="0.000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0.00000"/>
    </dxf>
    <dxf>
      <numFmt numFmtId="2" formatCode="0.00"/>
    </dxf>
    <dxf>
      <numFmt numFmtId="2" formatCode="0.00"/>
    </dxf>
    <dxf>
      <numFmt numFmtId="19" formatCode="dd/mm/yyyy"/>
    </dxf>
    <dxf>
      <numFmt numFmtId="0" formatCode="General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6" formatCode="_ * #,##0_ ;_ * \-#,##0_ ;_ * &quot;-&quot;??_ ;_ @_ "/>
    </dxf>
    <dxf>
      <numFmt numFmtId="2" formatCode="0.00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3" formatCode="0%"/>
    </dxf>
    <dxf>
      <numFmt numFmtId="13" formatCode="0%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0.0000"/>
    </dxf>
    <dxf>
      <numFmt numFmtId="13" formatCode="0%"/>
    </dxf>
    <dxf>
      <numFmt numFmtId="13" formatCode="0%"/>
    </dxf>
    <dxf>
      <numFmt numFmtId="2" formatCode="0.00"/>
    </dxf>
    <dxf>
      <numFmt numFmtId="13" formatCode="0%"/>
    </dxf>
    <dxf>
      <numFmt numFmtId="13" formatCode="0%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colors>
    <mruColors>
      <color rgb="FF4D4D4D"/>
      <color rgb="FFA0C349"/>
      <color rgb="FF359360"/>
      <color rgb="FF449B1D"/>
      <color rgb="FF170FBD"/>
      <color rgb="FF4C17F5"/>
      <color rgb="FF5B4A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Return on Ad spend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Summer Sale</c:v>
              </c:pt>
              <c:pt idx="1">
                <c:v>New Launch</c:v>
              </c:pt>
              <c:pt idx="2">
                <c:v>Year End Clearance</c:v>
              </c:pt>
              <c:pt idx="3">
                <c:v>Festive Offer</c:v>
              </c:pt>
              <c:pt idx="4">
                <c:v>Mega Discount Days</c:v>
              </c:pt>
            </c:strLit>
          </c:cat>
          <c:val>
            <c:numLit>
              <c:formatCode>General</c:formatCode>
              <c:ptCount val="5"/>
              <c:pt idx="0">
                <c:v>3.5589389005505523</c:v>
              </c:pt>
              <c:pt idx="1">
                <c:v>4.2028606989517856</c:v>
              </c:pt>
              <c:pt idx="2">
                <c:v>5.843488411409564</c:v>
              </c:pt>
              <c:pt idx="3">
                <c:v>4.1662224625037707</c:v>
              </c:pt>
              <c:pt idx="4">
                <c:v>4.441732135719473</c:v>
              </c:pt>
            </c:numLit>
          </c:val>
          <c:extLst>
            <c:ext xmlns:c16="http://schemas.microsoft.com/office/drawing/2014/chart" uri="{C3380CC4-5D6E-409C-BE32-E72D297353CC}">
              <c16:uniqueId val="{00000000-4FC8-488C-B01D-876EA6131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45839"/>
        <c:axId val="62946671"/>
      </c:barChart>
      <c:lineChart>
        <c:grouping val="standard"/>
        <c:varyColors val="0"/>
        <c:ser>
          <c:idx val="1"/>
          <c:order val="1"/>
          <c:tx>
            <c:v>Sum of Ad_Spend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Summer Sale</c:v>
              </c:pt>
              <c:pt idx="1">
                <c:v>New Launch</c:v>
              </c:pt>
              <c:pt idx="2">
                <c:v>Year End Clearance</c:v>
              </c:pt>
              <c:pt idx="3">
                <c:v>Festive Offer</c:v>
              </c:pt>
              <c:pt idx="4">
                <c:v>Mega Discount Days</c:v>
              </c:pt>
            </c:strLit>
          </c:cat>
          <c:val>
            <c:numLit>
              <c:formatCode>General</c:formatCode>
              <c:ptCount val="5"/>
              <c:pt idx="0">
                <c:v>4254334.42</c:v>
              </c:pt>
              <c:pt idx="1">
                <c:v>3982044.5200000014</c:v>
              </c:pt>
              <c:pt idx="2">
                <c:v>3935464.01</c:v>
              </c:pt>
              <c:pt idx="3">
                <c:v>2966283.6300000004</c:v>
              </c:pt>
              <c:pt idx="4">
                <c:v>2819411.5100000007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FC8-488C-B01D-876EA6131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6414447"/>
        <c:axId val="1936413615"/>
      </c:lineChart>
      <c:catAx>
        <c:axId val="193641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13615"/>
        <c:crosses val="autoZero"/>
        <c:auto val="1"/>
        <c:lblAlgn val="ctr"/>
        <c:lblOffset val="100"/>
        <c:noMultiLvlLbl val="0"/>
      </c:catAx>
      <c:valAx>
        <c:axId val="19364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14447"/>
        <c:crosses val="autoZero"/>
        <c:crossBetween val="between"/>
      </c:valAx>
      <c:valAx>
        <c:axId val="629466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5839"/>
        <c:crosses val="max"/>
        <c:crossBetween val="between"/>
      </c:valAx>
      <c:catAx>
        <c:axId val="62945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946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Segoe UI Variable Small Semibol" pitchFamily="2" charset="0"/>
                <a:ea typeface="+mn-ea"/>
                <a:cs typeface="+mn-cs"/>
              </a:defRPr>
            </a:pPr>
            <a:r>
              <a:rPr lang="en-IN" sz="1100" b="0">
                <a:solidFill>
                  <a:srgbClr val="4D4D4D"/>
                </a:solidFill>
                <a:latin typeface="+mn-lt"/>
              </a:rPr>
              <a:t>Avg</a:t>
            </a:r>
            <a:r>
              <a:rPr lang="en-IN" sz="1100" b="0" baseline="0">
                <a:solidFill>
                  <a:srgbClr val="4D4D4D"/>
                </a:solidFill>
                <a:latin typeface="+mn-lt"/>
              </a:rPr>
              <a:t> of Engagement(Blue) % &amp; Conversion % (Red)</a:t>
            </a:r>
            <a:endParaRPr lang="en-IN" sz="1100" b="0">
              <a:solidFill>
                <a:srgbClr val="4D4D4D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Segoe UI Variable Small Semibol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Table'!$B$13</c:f>
              <c:strCache>
                <c:ptCount val="1"/>
                <c:pt idx="0">
                  <c:v>Average of Engagement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Table'!$A$14:$A$19</c:f>
              <c:strCache>
                <c:ptCount val="5"/>
                <c:pt idx="0">
                  <c:v>Festive Offer</c:v>
                </c:pt>
                <c:pt idx="1">
                  <c:v>Mega Discount Days</c:v>
                </c:pt>
                <c:pt idx="2">
                  <c:v>New Launch</c:v>
                </c:pt>
                <c:pt idx="3">
                  <c:v>Summer Sale</c:v>
                </c:pt>
                <c:pt idx="4">
                  <c:v>Year End Clearance</c:v>
                </c:pt>
              </c:strCache>
            </c:strRef>
          </c:cat>
          <c:val>
            <c:numRef>
              <c:f>'Pivot Table'!$B$14:$B$19</c:f>
              <c:numCache>
                <c:formatCode>0%</c:formatCode>
                <c:ptCount val="5"/>
                <c:pt idx="0">
                  <c:v>3.0190295258242315E-2</c:v>
                </c:pt>
                <c:pt idx="1">
                  <c:v>4.2061834237345566E-2</c:v>
                </c:pt>
                <c:pt idx="2">
                  <c:v>4.1269939864744525E-2</c:v>
                </c:pt>
                <c:pt idx="3">
                  <c:v>5.8927354693054136E-2</c:v>
                </c:pt>
                <c:pt idx="4">
                  <c:v>3.4847932256056438E-2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A-4B59-B1A1-F5577D2A8DF3}"/>
            </c:ext>
          </c:extLst>
        </c:ser>
        <c:ser>
          <c:idx val="1"/>
          <c:order val="1"/>
          <c:tx>
            <c:strRef>
              <c:f>'Pivot Table'!$C$13</c:f>
              <c:strCache>
                <c:ptCount val="1"/>
                <c:pt idx="0">
                  <c:v>Average of Conversion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Table'!$A$14:$A$19</c:f>
              <c:strCache>
                <c:ptCount val="5"/>
                <c:pt idx="0">
                  <c:v>Festive Offer</c:v>
                </c:pt>
                <c:pt idx="1">
                  <c:v>Mega Discount Days</c:v>
                </c:pt>
                <c:pt idx="2">
                  <c:v>New Launch</c:v>
                </c:pt>
                <c:pt idx="3">
                  <c:v>Summer Sale</c:v>
                </c:pt>
                <c:pt idx="4">
                  <c:v>Year End Clearance</c:v>
                </c:pt>
              </c:strCache>
            </c:strRef>
          </c:cat>
          <c:val>
            <c:numRef>
              <c:f>'Pivot Table'!$C$14:$C$19</c:f>
              <c:numCache>
                <c:formatCode>0%</c:formatCode>
                <c:ptCount val="5"/>
                <c:pt idx="0">
                  <c:v>9.9066610495205903E-2</c:v>
                </c:pt>
                <c:pt idx="1">
                  <c:v>9.120258680533494E-2</c:v>
                </c:pt>
                <c:pt idx="2">
                  <c:v>7.1337408390644896E-2</c:v>
                </c:pt>
                <c:pt idx="3">
                  <c:v>9.0410195991296252E-2</c:v>
                </c:pt>
                <c:pt idx="4">
                  <c:v>0.1106798616199704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A-4B59-B1A1-F5577D2A8DF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7591663"/>
        <c:axId val="47590415"/>
        <c:axId val="0"/>
      </c:bar3DChart>
      <c:catAx>
        <c:axId val="47591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0415"/>
        <c:crosses val="autoZero"/>
        <c:auto val="1"/>
        <c:lblAlgn val="ctr"/>
        <c:lblOffset val="100"/>
        <c:noMultiLvlLbl val="0"/>
      </c:catAx>
      <c:valAx>
        <c:axId val="4759041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759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 anchor="ctr" anchorCtr="1"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Table!PivotTable7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1.2222081031699194E-16"/>
              <c:y val="4.3518423231288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2.5024934383202101E-2"/>
              <c:y val="5.24473429966531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B838-4466-AC25-F30A6B47737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838-4466-AC25-F30A6B477377}"/>
              </c:ext>
            </c:extLst>
          </c:dPt>
          <c:dLbls>
            <c:dLbl>
              <c:idx val="3"/>
              <c:layout>
                <c:manualLayout>
                  <c:x val="-2.5024934383202101E-2"/>
                  <c:y val="5.2447342996653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38-4466-AC25-F30A6B477377}"/>
                </c:ext>
              </c:extLst>
            </c:dLbl>
            <c:dLbl>
              <c:idx val="4"/>
              <c:layout>
                <c:manualLayout>
                  <c:x val="-1.2222081031699194E-16"/>
                  <c:y val="4.35184232312883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38-4466-AC25-F30A6B4773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Table'!$D$14:$D$19</c:f>
              <c:strCache>
                <c:ptCount val="5"/>
                <c:pt idx="0">
                  <c:v>Festive Offer</c:v>
                </c:pt>
                <c:pt idx="1">
                  <c:v>Mega Discount Days</c:v>
                </c:pt>
                <c:pt idx="2">
                  <c:v>New Launch</c:v>
                </c:pt>
                <c:pt idx="3">
                  <c:v>Summer Sale</c:v>
                </c:pt>
                <c:pt idx="4">
                  <c:v>Year End Clearance</c:v>
                </c:pt>
              </c:strCache>
            </c:strRef>
          </c:cat>
          <c:val>
            <c:numRef>
              <c:f>'Pivot Table'!$E$14:$E$19</c:f>
              <c:numCache>
                <c:formatCode>_(* #,##0.00_);_(* \(#,##0.00\);_(* "-"??_);_(@_)</c:formatCode>
                <c:ptCount val="5"/>
                <c:pt idx="0">
                  <c:v>5026860.6499999994</c:v>
                </c:pt>
                <c:pt idx="1">
                  <c:v>4996870.0099999988</c:v>
                </c:pt>
                <c:pt idx="2">
                  <c:v>5159097.3499999996</c:v>
                </c:pt>
                <c:pt idx="3">
                  <c:v>6510558.7900000038</c:v>
                </c:pt>
                <c:pt idx="4">
                  <c:v>7275330.5500000007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D117-475E-A3F9-954CE0946A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1"/>
        <c:gapDepth val="74"/>
        <c:shape val="box"/>
        <c:axId val="61637135"/>
        <c:axId val="61639215"/>
        <c:axId val="0"/>
      </c:bar3DChart>
      <c:catAx>
        <c:axId val="61637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Total</a:t>
                </a:r>
                <a:r>
                  <a:rPr lang="en-IN" sz="1200" b="1" baseline="0"/>
                  <a:t> Profit </a:t>
                </a:r>
                <a:r>
                  <a:rPr lang="en-IN" sz="1200" b="1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9215"/>
        <c:crosses val="autoZero"/>
        <c:auto val="1"/>
        <c:lblAlgn val="ctr"/>
        <c:lblOffset val="100"/>
        <c:noMultiLvlLbl val="0"/>
      </c:catAx>
      <c:valAx>
        <c:axId val="61639215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616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Table!PivotTable17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Table'!$C$96</c:f>
              <c:strCache>
                <c:ptCount val="1"/>
                <c:pt idx="0">
                  <c:v>Average of Conversion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'Pivot Table'!$B$97:$B$102</c:f>
              <c:strCache>
                <c:ptCount val="5"/>
                <c:pt idx="0">
                  <c:v>Year End Clearance</c:v>
                </c:pt>
                <c:pt idx="1">
                  <c:v>Festive Offer</c:v>
                </c:pt>
                <c:pt idx="2">
                  <c:v>Mega Discount Days</c:v>
                </c:pt>
                <c:pt idx="3">
                  <c:v>Summer Sale</c:v>
                </c:pt>
                <c:pt idx="4">
                  <c:v>New Launch</c:v>
                </c:pt>
              </c:strCache>
            </c:strRef>
          </c:cat>
          <c:val>
            <c:numRef>
              <c:f>'Pivot Table'!$C$97:$C$102</c:f>
              <c:numCache>
                <c:formatCode>0.00%</c:formatCode>
                <c:ptCount val="5"/>
                <c:pt idx="0">
                  <c:v>0.1106798616199704</c:v>
                </c:pt>
                <c:pt idx="1">
                  <c:v>9.9066610495205903E-2</c:v>
                </c:pt>
                <c:pt idx="2">
                  <c:v>9.120258680533494E-2</c:v>
                </c:pt>
                <c:pt idx="3">
                  <c:v>9.0410195991296252E-2</c:v>
                </c:pt>
                <c:pt idx="4">
                  <c:v>7.1337408390644896E-2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0-4E8D-8ACF-5F55959F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845791"/>
        <c:axId val="71847455"/>
      </c:barChart>
      <c:lineChart>
        <c:grouping val="standard"/>
        <c:varyColors val="0"/>
        <c:ser>
          <c:idx val="1"/>
          <c:order val="1"/>
          <c:tx>
            <c:strRef>
              <c:f>'Pivot Table'!$D$96</c:f>
              <c:strCache>
                <c:ptCount val="1"/>
                <c:pt idx="0">
                  <c:v>Average of Bounce_Rate(%)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Table'!$B$97:$B$102</c:f>
              <c:strCache>
                <c:ptCount val="5"/>
                <c:pt idx="0">
                  <c:v>Year End Clearance</c:v>
                </c:pt>
                <c:pt idx="1">
                  <c:v>Festive Offer</c:v>
                </c:pt>
                <c:pt idx="2">
                  <c:v>Mega Discount Days</c:v>
                </c:pt>
                <c:pt idx="3">
                  <c:v>Summer Sale</c:v>
                </c:pt>
                <c:pt idx="4">
                  <c:v>New Launch</c:v>
                </c:pt>
              </c:strCache>
            </c:strRef>
          </c:cat>
          <c:val>
            <c:numRef>
              <c:f>'Pivot Table'!$D$97:$D$102</c:f>
              <c:numCache>
                <c:formatCode>0.00</c:formatCode>
                <c:ptCount val="5"/>
                <c:pt idx="0">
                  <c:v>45.768518518518533</c:v>
                </c:pt>
                <c:pt idx="1">
                  <c:v>48.39967213114754</c:v>
                </c:pt>
                <c:pt idx="2">
                  <c:v>44.562499999999993</c:v>
                </c:pt>
                <c:pt idx="3">
                  <c:v>39.390124999999998</c:v>
                </c:pt>
                <c:pt idx="4">
                  <c:v>43.793380281690141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0-4E8D-8ACF-5F55959F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63263"/>
        <c:axId val="71862431"/>
      </c:lineChart>
      <c:catAx>
        <c:axId val="7184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7455"/>
        <c:crosses val="autoZero"/>
        <c:auto val="1"/>
        <c:lblAlgn val="ctr"/>
        <c:lblOffset val="100"/>
        <c:noMultiLvlLbl val="0"/>
      </c:catAx>
      <c:valAx>
        <c:axId val="718474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45791"/>
        <c:crosses val="autoZero"/>
        <c:crossBetween val="between"/>
      </c:valAx>
      <c:valAx>
        <c:axId val="7186243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63263"/>
        <c:crosses val="max"/>
        <c:crossBetween val="between"/>
      </c:valAx>
      <c:catAx>
        <c:axId val="71863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862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Engagemnet</a:t>
            </a:r>
            <a:r>
              <a:rPr lang="en-US" b="0" baseline="0"/>
              <a:t> Rate % 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Table'!$E$35:$E$63</c:f>
              <c:multiLvlStrCache>
                <c:ptCount val="24"/>
                <c:lvl>
                  <c:pt idx="0">
                    <c:v>Email</c:v>
                  </c:pt>
                  <c:pt idx="1">
                    <c:v>Google Ads</c:v>
                  </c:pt>
                  <c:pt idx="2">
                    <c:v>Influencer</c:v>
                  </c:pt>
                  <c:pt idx="3">
                    <c:v>SEO</c:v>
                  </c:pt>
                  <c:pt idx="4">
                    <c:v>Social Media</c:v>
                  </c:pt>
                  <c:pt idx="5">
                    <c:v>TV</c:v>
                  </c:pt>
                  <c:pt idx="6">
                    <c:v>Email</c:v>
                  </c:pt>
                  <c:pt idx="7">
                    <c:v>Google Ads</c:v>
                  </c:pt>
                  <c:pt idx="8">
                    <c:v>Influencer</c:v>
                  </c:pt>
                  <c:pt idx="9">
                    <c:v>SEO</c:v>
                  </c:pt>
                  <c:pt idx="10">
                    <c:v>Social Media</c:v>
                  </c:pt>
                  <c:pt idx="11">
                    <c:v>TV</c:v>
                  </c:pt>
                  <c:pt idx="12">
                    <c:v>Email</c:v>
                  </c:pt>
                  <c:pt idx="13">
                    <c:v>Google Ads</c:v>
                  </c:pt>
                  <c:pt idx="14">
                    <c:v>Influencer</c:v>
                  </c:pt>
                  <c:pt idx="15">
                    <c:v>SEO</c:v>
                  </c:pt>
                  <c:pt idx="16">
                    <c:v>Social Media</c:v>
                  </c:pt>
                  <c:pt idx="17">
                    <c:v>TV</c:v>
                  </c:pt>
                  <c:pt idx="18">
                    <c:v>Email</c:v>
                  </c:pt>
                  <c:pt idx="19">
                    <c:v>Google Ads</c:v>
                  </c:pt>
                  <c:pt idx="20">
                    <c:v>Influencer</c:v>
                  </c:pt>
                  <c:pt idx="21">
                    <c:v>SEO</c:v>
                  </c:pt>
                  <c:pt idx="22">
                    <c:v>Social Media</c:v>
                  </c:pt>
                  <c:pt idx="23">
                    <c:v>TV</c:v>
                  </c:pt>
                </c:lvl>
                <c:lvl>
                  <c:pt idx="0">
                    <c:v>18-25</c:v>
                  </c:pt>
                  <c:pt idx="6">
                    <c:v>26-35</c:v>
                  </c:pt>
                  <c:pt idx="12">
                    <c:v>36-45</c:v>
                  </c:pt>
                  <c:pt idx="18">
                    <c:v>46+</c:v>
                  </c:pt>
                </c:lvl>
              </c:multiLvlStrCache>
            </c:multiLvlStrRef>
          </c:cat>
          <c:val>
            <c:numRef>
              <c:f>'Pivot Table'!$F$35:$F$63</c:f>
              <c:numCache>
                <c:formatCode>0%</c:formatCode>
                <c:ptCount val="24"/>
                <c:pt idx="0">
                  <c:v>2.7224839916262886E-2</c:v>
                </c:pt>
                <c:pt idx="1">
                  <c:v>2.4396081372659095E-2</c:v>
                </c:pt>
                <c:pt idx="2">
                  <c:v>1.8269890960302383E-2</c:v>
                </c:pt>
                <c:pt idx="3">
                  <c:v>1.8288333507073189E-2</c:v>
                </c:pt>
                <c:pt idx="4">
                  <c:v>1.7784014821398339E-2</c:v>
                </c:pt>
                <c:pt idx="5">
                  <c:v>3.1741820826441225E-2</c:v>
                </c:pt>
                <c:pt idx="6">
                  <c:v>2.8231114826036987E-2</c:v>
                </c:pt>
                <c:pt idx="7">
                  <c:v>2.552789416544491E-2</c:v>
                </c:pt>
                <c:pt idx="8">
                  <c:v>1.9171530200114927E-2</c:v>
                </c:pt>
                <c:pt idx="9">
                  <c:v>2.829997390107589E-2</c:v>
                </c:pt>
                <c:pt idx="10">
                  <c:v>1.8235816003919967E-2</c:v>
                </c:pt>
                <c:pt idx="11">
                  <c:v>2.4856310450498187E-2</c:v>
                </c:pt>
                <c:pt idx="12">
                  <c:v>3.1779087237901647E-2</c:v>
                </c:pt>
                <c:pt idx="13">
                  <c:v>2.6261357649250427E-2</c:v>
                </c:pt>
                <c:pt idx="14">
                  <c:v>2.6567175345463712E-2</c:v>
                </c:pt>
                <c:pt idx="15">
                  <c:v>2.1289570309013055E-2</c:v>
                </c:pt>
                <c:pt idx="16">
                  <c:v>2.9845728472010662E-2</c:v>
                </c:pt>
                <c:pt idx="17">
                  <c:v>2.8904226880382786E-2</c:v>
                </c:pt>
                <c:pt idx="18">
                  <c:v>1.817118861458741E-2</c:v>
                </c:pt>
                <c:pt idx="19">
                  <c:v>2.726144817196367E-2</c:v>
                </c:pt>
                <c:pt idx="20">
                  <c:v>2.3110805012376792E-2</c:v>
                </c:pt>
                <c:pt idx="21">
                  <c:v>1.5735783438959816E-2</c:v>
                </c:pt>
                <c:pt idx="22">
                  <c:v>2.4378891633972562E-2</c:v>
                </c:pt>
                <c:pt idx="23">
                  <c:v>2.4656111126897782E-2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5-4F81-B5B1-3E0CD8CE09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66385248"/>
        <c:axId val="1966380256"/>
      </c:barChart>
      <c:catAx>
        <c:axId val="196638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80256"/>
        <c:crosses val="autoZero"/>
        <c:auto val="1"/>
        <c:lblAlgn val="ctr"/>
        <c:lblOffset val="100"/>
        <c:noMultiLvlLbl val="0"/>
      </c:catAx>
      <c:valAx>
        <c:axId val="196638025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6638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8791849456014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Table'!$E$22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F17-4197-BF06-E4FCEAEB47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F17-4197-BF06-E4FCEAEB47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F17-4197-BF06-E4FCEAEB47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F17-4197-BF06-E4FCEAEB477D}"/>
              </c:ext>
            </c:extLst>
          </c:dPt>
          <c:dLbls>
            <c:dLbl>
              <c:idx val="0"/>
              <c:layout>
                <c:manualLayout>
                  <c:x val="4.8791849456014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17-4197-BF06-E4FCEAEB47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Table'!$D$23:$D$27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Table'!$E$23:$E$27</c:f>
              <c:numCache>
                <c:formatCode>_(* #,##0.00_);_(* \(#,##0.00\);_(* "-"??_);_(@_)</c:formatCode>
                <c:ptCount val="4"/>
                <c:pt idx="0">
                  <c:v>6472458.1100000013</c:v>
                </c:pt>
                <c:pt idx="1">
                  <c:v>7082198.6900000023</c:v>
                </c:pt>
                <c:pt idx="2">
                  <c:v>7399697.8900000025</c:v>
                </c:pt>
                <c:pt idx="3">
                  <c:v>8014362.6600000011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17-4197-BF06-E4FCEAEB4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Table!PivotTable12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Average of CAC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'Pivot Table'!$A$34:$A$39</c:f>
              <c:strCache>
                <c:ptCount val="5"/>
                <c:pt idx="0">
                  <c:v>New Launch</c:v>
                </c:pt>
                <c:pt idx="1">
                  <c:v>Summer Sale</c:v>
                </c:pt>
                <c:pt idx="2">
                  <c:v>Mega Discount Days</c:v>
                </c:pt>
                <c:pt idx="3">
                  <c:v>Year End Clearance</c:v>
                </c:pt>
                <c:pt idx="4">
                  <c:v>Festive Offer</c:v>
                </c:pt>
              </c:strCache>
            </c:strRef>
          </c:cat>
          <c:val>
            <c:numRef>
              <c:f>'Pivot Table'!$B$34:$B$39</c:f>
              <c:numCache>
                <c:formatCode>General</c:formatCode>
                <c:ptCount val="5"/>
                <c:pt idx="0">
                  <c:v>114.12616661011008</c:v>
                </c:pt>
                <c:pt idx="1">
                  <c:v>89.406534349167742</c:v>
                </c:pt>
                <c:pt idx="2">
                  <c:v>104.66149616781561</c:v>
                </c:pt>
                <c:pt idx="3">
                  <c:v>68.957773616159557</c:v>
                </c:pt>
                <c:pt idx="4">
                  <c:v>69.583863774437503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6-46F4-8AA2-5D1594E0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853743"/>
        <c:axId val="376858735"/>
      </c:barChart>
      <c:lineChart>
        <c:grouping val="standard"/>
        <c:varyColors val="0"/>
        <c:ser>
          <c:idx val="1"/>
          <c:order val="1"/>
          <c:tx>
            <c:strRef>
              <c:f>'Pivot Table'!$C$33</c:f>
              <c:strCache>
                <c:ptCount val="1"/>
                <c:pt idx="0">
                  <c:v>Average of Customer_Satisfaction_Score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Table'!$A$34:$A$39</c:f>
              <c:strCache>
                <c:ptCount val="5"/>
                <c:pt idx="0">
                  <c:v>New Launch</c:v>
                </c:pt>
                <c:pt idx="1">
                  <c:v>Summer Sale</c:v>
                </c:pt>
                <c:pt idx="2">
                  <c:v>Mega Discount Days</c:v>
                </c:pt>
                <c:pt idx="3">
                  <c:v>Year End Clearance</c:v>
                </c:pt>
                <c:pt idx="4">
                  <c:v>Festive Offer</c:v>
                </c:pt>
              </c:strCache>
            </c:strRef>
          </c:cat>
          <c:val>
            <c:numRef>
              <c:f>'Pivot Table'!$C$34:$C$39</c:f>
              <c:numCache>
                <c:formatCode>0.00</c:formatCode>
                <c:ptCount val="5"/>
                <c:pt idx="0">
                  <c:v>6.76056338028169</c:v>
                </c:pt>
                <c:pt idx="1">
                  <c:v>6.7374999999999998</c:v>
                </c:pt>
                <c:pt idx="2">
                  <c:v>6.6491228070175437</c:v>
                </c:pt>
                <c:pt idx="3">
                  <c:v>6.5925925925925926</c:v>
                </c:pt>
                <c:pt idx="4">
                  <c:v>6.2131147540983607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6-46F4-8AA2-5D1594E0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855407"/>
        <c:axId val="376854991"/>
      </c:lineChart>
      <c:catAx>
        <c:axId val="376853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58735"/>
        <c:crosses val="autoZero"/>
        <c:auto val="1"/>
        <c:lblAlgn val="ctr"/>
        <c:lblOffset val="100"/>
        <c:noMultiLvlLbl val="0"/>
      </c:catAx>
      <c:valAx>
        <c:axId val="37685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53743"/>
        <c:crosses val="autoZero"/>
        <c:crossBetween val="between"/>
      </c:valAx>
      <c:valAx>
        <c:axId val="37685499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55407"/>
        <c:crosses val="max"/>
        <c:crossBetween val="between"/>
      </c:valAx>
      <c:catAx>
        <c:axId val="37685540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37685499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[Digital_Marketing_Campaign_Performance - Copy.xlsx]Pivot Table!PivotTable1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Return on Ad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cat>
            <c:strRef>
              <c:f>'Pivot Table'!$A$4:$A$10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SEO</c:v>
                </c:pt>
                <c:pt idx="3">
                  <c:v>TV</c:v>
                </c:pt>
                <c:pt idx="4">
                  <c:v>Social Media</c:v>
                </c:pt>
                <c:pt idx="5">
                  <c:v>Influencer</c:v>
                </c:pt>
              </c:strCache>
            </c:strRef>
          </c:cat>
          <c:val>
            <c:numRef>
              <c:f>'Pivot Table'!$C$4:$C$10</c:f>
              <c:numCache>
                <c:formatCode>0.00</c:formatCode>
                <c:ptCount val="6"/>
                <c:pt idx="0">
                  <c:v>315.95334638058853</c:v>
                </c:pt>
                <c:pt idx="1">
                  <c:v>291.46507760688314</c:v>
                </c:pt>
                <c:pt idx="2">
                  <c:v>289.32651219373219</c:v>
                </c:pt>
                <c:pt idx="3">
                  <c:v>258.09861127015603</c:v>
                </c:pt>
                <c:pt idx="4">
                  <c:v>227.07806273318073</c:v>
                </c:pt>
                <c:pt idx="5">
                  <c:v>181.83747475799512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474D-99F6-D57861657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9117503"/>
        <c:axId val="1599115839"/>
      </c:barChar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Average of Conversion Rate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Table'!$A$4:$A$10</c:f>
              <c:strCache>
                <c:ptCount val="6"/>
                <c:pt idx="0">
                  <c:v>Email</c:v>
                </c:pt>
                <c:pt idx="1">
                  <c:v>Google Ads</c:v>
                </c:pt>
                <c:pt idx="2">
                  <c:v>SEO</c:v>
                </c:pt>
                <c:pt idx="3">
                  <c:v>TV</c:v>
                </c:pt>
                <c:pt idx="4">
                  <c:v>Social Media</c:v>
                </c:pt>
                <c:pt idx="5">
                  <c:v>Influencer</c:v>
                </c:pt>
              </c:strCache>
            </c:strRef>
          </c:cat>
          <c:val>
            <c:numRef>
              <c:f>'Pivot Table'!$B$4:$B$10</c:f>
              <c:numCache>
                <c:formatCode>0%</c:formatCode>
                <c:ptCount val="6"/>
                <c:pt idx="0">
                  <c:v>6.1958972298885029E-2</c:v>
                </c:pt>
                <c:pt idx="1">
                  <c:v>9.0558703016283076E-2</c:v>
                </c:pt>
                <c:pt idx="2">
                  <c:v>0.13749387733646354</c:v>
                </c:pt>
                <c:pt idx="3">
                  <c:v>8.3475191334457091E-2</c:v>
                </c:pt>
                <c:pt idx="4">
                  <c:v>8.8423699791063071E-2</c:v>
                </c:pt>
                <c:pt idx="5">
                  <c:v>9.2421013789235479E-2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2-474D-99F6-D57861657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22831"/>
        <c:axId val="55021999"/>
      </c:lineChart>
      <c:catAx>
        <c:axId val="15991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15839"/>
        <c:crosses val="autoZero"/>
        <c:auto val="1"/>
        <c:lblAlgn val="ctr"/>
        <c:lblOffset val="100"/>
        <c:noMultiLvlLbl val="0"/>
      </c:catAx>
      <c:valAx>
        <c:axId val="159911583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17503"/>
        <c:crosses val="autoZero"/>
        <c:crossBetween val="between"/>
      </c:valAx>
      <c:valAx>
        <c:axId val="5502199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2831"/>
        <c:crosses val="max"/>
        <c:crossBetween val="between"/>
      </c:valAx>
      <c:catAx>
        <c:axId val="55022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21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6</xdr:row>
      <xdr:rowOff>141536</xdr:rowOff>
    </xdr:from>
    <xdr:to>
      <xdr:col>7</xdr:col>
      <xdr:colOff>246184</xdr:colOff>
      <xdr:row>12</xdr:row>
      <xdr:rowOff>155968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A1577329-6BD3-480F-9EC1-FB8B1DF02CCF}"/>
            </a:ext>
          </a:extLst>
        </xdr:cNvPr>
        <xdr:cNvGrpSpPr/>
      </xdr:nvGrpSpPr>
      <xdr:grpSpPr>
        <a:xfrm>
          <a:off x="0" y="1208336"/>
          <a:ext cx="4513384" cy="1081232"/>
          <a:chOff x="0" y="899967"/>
          <a:chExt cx="3657600" cy="788156"/>
        </a:xfrm>
      </xdr:grpSpPr>
      <xdr:sp macro="" textlink="'Pivot Table'!C45">
        <xdr:nvSpPr>
          <xdr:cNvPr id="7" name="Rectangle 6">
            <a:extLst>
              <a:ext uri="{FF2B5EF4-FFF2-40B4-BE49-F238E27FC236}">
                <a16:creationId xmlns:a16="http://schemas.microsoft.com/office/drawing/2014/main" id="{043B558D-F669-4762-A0B1-F314202917AB}"/>
              </a:ext>
            </a:extLst>
          </xdr:cNvPr>
          <xdr:cNvSpPr/>
        </xdr:nvSpPr>
        <xdr:spPr>
          <a:xfrm>
            <a:off x="0" y="899968"/>
            <a:ext cx="1219200" cy="413018"/>
          </a:xfrm>
          <a:prstGeom prst="rect">
            <a:avLst/>
          </a:prstGeom>
          <a:solidFill>
            <a:srgbClr val="170FBD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6D3C415-E065-4037-A206-68941772066E}" type="TxLink">
              <a:rPr lang="en-US" sz="15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 1,79,57,538.09 </a:t>
            </a:fld>
            <a:endParaRPr lang="en-IN" sz="1500" i="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'Pivot Table'!B45">
        <xdr:nvSpPr>
          <xdr:cNvPr id="9" name="Rectangle 8">
            <a:extLst>
              <a:ext uri="{FF2B5EF4-FFF2-40B4-BE49-F238E27FC236}">
                <a16:creationId xmlns:a16="http://schemas.microsoft.com/office/drawing/2014/main" id="{62EDF31E-11EB-4829-9CF1-80C5ABB51578}"/>
              </a:ext>
            </a:extLst>
          </xdr:cNvPr>
          <xdr:cNvSpPr/>
        </xdr:nvSpPr>
        <xdr:spPr>
          <a:xfrm>
            <a:off x="1219200" y="899967"/>
            <a:ext cx="1219200" cy="413017"/>
          </a:xfrm>
          <a:prstGeom prst="rect">
            <a:avLst/>
          </a:prstGeom>
          <a:solidFill>
            <a:srgbClr val="449B1D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1D0FB71-444A-45CD-B0F6-7262E2DD71BE}" type="TxLink">
              <a:rPr lang="en-US" sz="14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 4,69,26,255.44 </a:t>
            </a:fld>
            <a:endParaRPr lang="en-US" sz="1400" i="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'Pivot Table'!G20">
        <xdr:nvSpPr>
          <xdr:cNvPr id="10" name="Rectangle 9">
            <a:extLst>
              <a:ext uri="{FF2B5EF4-FFF2-40B4-BE49-F238E27FC236}">
                <a16:creationId xmlns:a16="http://schemas.microsoft.com/office/drawing/2014/main" id="{CEF2381A-A921-4CAD-B918-E0606B7FC6D5}"/>
              </a:ext>
            </a:extLst>
          </xdr:cNvPr>
          <xdr:cNvSpPr/>
        </xdr:nvSpPr>
        <xdr:spPr>
          <a:xfrm>
            <a:off x="2438400" y="899968"/>
            <a:ext cx="1219200" cy="413018"/>
          </a:xfrm>
          <a:prstGeom prst="rect">
            <a:avLst/>
          </a:prstGeom>
          <a:solidFill>
            <a:srgbClr val="359360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5B2C7C9-ECBA-4A10-B891-4416857300A3}" type="TxLink">
              <a:rPr lang="en-US" sz="15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 2,89,68,717 </a:t>
            </a:fld>
            <a:endParaRPr lang="en-IN" sz="1500" i="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918015B3-9477-4F5E-92D4-9DC345A4320E}"/>
              </a:ext>
            </a:extLst>
          </xdr:cNvPr>
          <xdr:cNvSpPr/>
        </xdr:nvSpPr>
        <xdr:spPr>
          <a:xfrm>
            <a:off x="0" y="1275105"/>
            <a:ext cx="1219200" cy="413018"/>
          </a:xfrm>
          <a:prstGeom prst="rect">
            <a:avLst/>
          </a:prstGeom>
          <a:solidFill>
            <a:srgbClr val="170F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400" i="0">
                <a:solidFill>
                  <a:schemeClr val="bg2"/>
                </a:solidFill>
                <a:effectLst/>
                <a:latin typeface="Segoe UI Variable Small Semibol" pitchFamily="2" charset="0"/>
                <a:ea typeface="+mn-ea"/>
                <a:cs typeface="+mn-cs"/>
              </a:rPr>
              <a:t>Total AD Spend</a:t>
            </a:r>
            <a:endParaRPr lang="en-IN" sz="1600">
              <a:solidFill>
                <a:schemeClr val="bg2"/>
              </a:solidFill>
              <a:effectLst/>
              <a:latin typeface="Segoe UI Variable Small Semibol" pitchFamily="2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977B18B-204D-407A-9944-DBEE95385509}"/>
              </a:ext>
            </a:extLst>
          </xdr:cNvPr>
          <xdr:cNvSpPr/>
        </xdr:nvSpPr>
        <xdr:spPr>
          <a:xfrm>
            <a:off x="1219200" y="1275105"/>
            <a:ext cx="1219200" cy="413018"/>
          </a:xfrm>
          <a:prstGeom prst="rect">
            <a:avLst/>
          </a:prstGeom>
          <a:solidFill>
            <a:srgbClr val="449B1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400" i="0">
                <a:solidFill>
                  <a:schemeClr val="bg2"/>
                </a:solidFill>
                <a:latin typeface="Segoe UI Variable Small Semibol" pitchFamily="2" charset="0"/>
              </a:rPr>
              <a:t>T. Revenue</a:t>
            </a:r>
            <a:r>
              <a:rPr lang="en-IN" sz="1400" i="0" baseline="0">
                <a:solidFill>
                  <a:schemeClr val="bg2"/>
                </a:solidFill>
                <a:latin typeface="Segoe UI Variable Small Semibol" pitchFamily="2" charset="0"/>
              </a:rPr>
              <a:t> Gen</a:t>
            </a:r>
            <a:endParaRPr lang="en-IN" sz="1400" i="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9741E75-3409-40F1-9138-E38A489CDAA1}"/>
              </a:ext>
            </a:extLst>
          </xdr:cNvPr>
          <xdr:cNvSpPr/>
        </xdr:nvSpPr>
        <xdr:spPr>
          <a:xfrm>
            <a:off x="2438400" y="1275105"/>
            <a:ext cx="1219200" cy="413018"/>
          </a:xfrm>
          <a:prstGeom prst="rect">
            <a:avLst/>
          </a:prstGeom>
          <a:solidFill>
            <a:srgbClr val="35936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600" i="0">
                <a:solidFill>
                  <a:schemeClr val="bg2"/>
                </a:solidFill>
                <a:latin typeface="Segoe UI Variable Small Semibol" pitchFamily="2" charset="0"/>
              </a:rPr>
              <a:t>Total Profit</a:t>
            </a:r>
          </a:p>
        </xdr:txBody>
      </xdr:sp>
    </xdr:grpSp>
    <xdr:clientData/>
  </xdr:twoCellAnchor>
  <xdr:twoCellAnchor editAs="absolute">
    <xdr:from>
      <xdr:col>7</xdr:col>
      <xdr:colOff>295843</xdr:colOff>
      <xdr:row>6</xdr:row>
      <xdr:rowOff>166048</xdr:rowOff>
    </xdr:from>
    <xdr:to>
      <xdr:col>14</xdr:col>
      <xdr:colOff>543043</xdr:colOff>
      <xdr:row>13</xdr:row>
      <xdr:rowOff>1020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B0EB599-DAC4-40F0-BFF7-A6F94693F0FD}"/>
            </a:ext>
          </a:extLst>
        </xdr:cNvPr>
        <xdr:cNvGrpSpPr/>
      </xdr:nvGrpSpPr>
      <xdr:grpSpPr>
        <a:xfrm>
          <a:off x="4563043" y="1232848"/>
          <a:ext cx="4514400" cy="1079572"/>
          <a:chOff x="3982065" y="363794"/>
          <a:chExt cx="3657600" cy="759793"/>
        </a:xfrm>
      </xdr:grpSpPr>
      <xdr:sp macro="" textlink="'Pivot Table'!G16">
        <xdr:nvSpPr>
          <xdr:cNvPr id="23" name="Rectangle 22">
            <a:extLst>
              <a:ext uri="{FF2B5EF4-FFF2-40B4-BE49-F238E27FC236}">
                <a16:creationId xmlns:a16="http://schemas.microsoft.com/office/drawing/2014/main" id="{921A7509-36D6-49F6-A950-2C00A2DE2AC5}"/>
              </a:ext>
            </a:extLst>
          </xdr:cNvPr>
          <xdr:cNvSpPr/>
        </xdr:nvSpPr>
        <xdr:spPr>
          <a:xfrm>
            <a:off x="3982065" y="363794"/>
            <a:ext cx="1219200" cy="396000"/>
          </a:xfrm>
          <a:prstGeom prst="rect">
            <a:avLst/>
          </a:prstGeom>
          <a:solidFill>
            <a:srgbClr val="170FBD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4FEE1B-232D-4ACD-8EB9-5FBF040D9768}" type="TxLink">
              <a:rPr lang="en-US" sz="18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9.29%</a:t>
            </a:fld>
            <a:endParaRPr lang="en-IN" sz="1800" i="1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'Pivot Table'!G24">
        <xdr:nvSpPr>
          <xdr:cNvPr id="24" name="Rectangle 23">
            <a:extLst>
              <a:ext uri="{FF2B5EF4-FFF2-40B4-BE49-F238E27FC236}">
                <a16:creationId xmlns:a16="http://schemas.microsoft.com/office/drawing/2014/main" id="{E926763E-8AA8-4C67-BF38-ABDB9EF1896E}"/>
              </a:ext>
            </a:extLst>
          </xdr:cNvPr>
          <xdr:cNvSpPr/>
        </xdr:nvSpPr>
        <xdr:spPr>
          <a:xfrm>
            <a:off x="5201265" y="363794"/>
            <a:ext cx="1219200" cy="396000"/>
          </a:xfrm>
          <a:prstGeom prst="rect">
            <a:avLst/>
          </a:prstGeom>
          <a:solidFill>
            <a:srgbClr val="449B1D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B9A2CDF-3EE0-4D5A-8147-DAE61F5B462E}" type="TxLink">
              <a:rPr lang="en-US" sz="20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4.20%</a:t>
            </a:fld>
            <a:endParaRPr lang="en-IN" sz="200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'Pivot Table'!G29">
        <xdr:nvSpPr>
          <xdr:cNvPr id="25" name="Rectangle 24">
            <a:extLst>
              <a:ext uri="{FF2B5EF4-FFF2-40B4-BE49-F238E27FC236}">
                <a16:creationId xmlns:a16="http://schemas.microsoft.com/office/drawing/2014/main" id="{7212BDF2-3DDD-4322-9645-2478FD2AEA83}"/>
              </a:ext>
            </a:extLst>
          </xdr:cNvPr>
          <xdr:cNvSpPr/>
        </xdr:nvSpPr>
        <xdr:spPr>
          <a:xfrm>
            <a:off x="6420465" y="363794"/>
            <a:ext cx="1219200" cy="396000"/>
          </a:xfrm>
          <a:prstGeom prst="rect">
            <a:avLst/>
          </a:prstGeom>
          <a:solidFill>
            <a:srgbClr val="359360">
              <a:alpha val="57000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69AEA1B-E718-4064-8DD1-C350FBE31E2C}" type="TxLink">
              <a:rPr lang="en-US" sz="1800" b="0" i="0" u="none" strike="noStrike">
                <a:solidFill>
                  <a:schemeClr val="bg2"/>
                </a:solidFill>
                <a:latin typeface="Segoe UI Variable Small Semibol" pitchFamily="2" charset="0"/>
                <a:ea typeface="Calibri"/>
                <a:cs typeface="Calibri"/>
              </a:rPr>
              <a:pPr algn="ctr"/>
              <a:t>6.60</a:t>
            </a:fld>
            <a:endParaRPr lang="en-US" sz="3200">
              <a:solidFill>
                <a:schemeClr val="bg2"/>
              </a:solidFill>
              <a:latin typeface="Segoe UI Variable Small Semibol" pitchFamily="2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E607421-2BBB-4421-9C05-891B3BEE8C3B}"/>
              </a:ext>
            </a:extLst>
          </xdr:cNvPr>
          <xdr:cNvSpPr/>
        </xdr:nvSpPr>
        <xdr:spPr>
          <a:xfrm>
            <a:off x="3982065" y="727587"/>
            <a:ext cx="1219200" cy="396000"/>
          </a:xfrm>
          <a:prstGeom prst="rect">
            <a:avLst/>
          </a:prstGeom>
          <a:solidFill>
            <a:srgbClr val="170F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 b="1" i="0">
                <a:latin typeface="Segoe UI Variable Small Semibol" pitchFamily="2" charset="0"/>
              </a:rPr>
              <a:t>Avg Conversion %</a:t>
            </a:r>
          </a:p>
          <a:p>
            <a:pPr algn="ctr"/>
            <a:r>
              <a:rPr lang="en-IN" sz="900">
                <a:latin typeface="Segoe UI Variable Small Semibol" pitchFamily="2" charset="0"/>
              </a:rPr>
              <a:t>(Campaign to lead ratio</a:t>
            </a:r>
            <a:r>
              <a:rPr lang="en-IN" sz="1050"/>
              <a:t>)</a:t>
            </a:r>
            <a:endParaRPr lang="en-IN" sz="1050" b="1" i="0">
              <a:latin typeface="Segoe UI Variable Small Semibol" pitchFamily="2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C9AF5F15-8B3B-429D-9BF5-EC597F23A7B4}"/>
              </a:ext>
            </a:extLst>
          </xdr:cNvPr>
          <xdr:cNvSpPr/>
        </xdr:nvSpPr>
        <xdr:spPr>
          <a:xfrm>
            <a:off x="5201265" y="727587"/>
            <a:ext cx="1219200" cy="396000"/>
          </a:xfrm>
          <a:prstGeom prst="rect">
            <a:avLst/>
          </a:prstGeom>
          <a:solidFill>
            <a:srgbClr val="449B1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latin typeface="Segoe UI Variable Small Semibol" pitchFamily="2" charset="0"/>
              </a:rPr>
              <a:t>Avg Engagement %</a:t>
            </a:r>
          </a:p>
          <a:p>
            <a:pPr algn="ctr"/>
            <a:r>
              <a:rPr lang="en-IN"/>
              <a:t>(</a:t>
            </a:r>
            <a:r>
              <a:rPr lang="en-IN" sz="900">
                <a:latin typeface="Segoe UI Variable Small Semibol" pitchFamily="2" charset="0"/>
              </a:rPr>
              <a:t>Audience response</a:t>
            </a:r>
            <a:r>
              <a:rPr lang="en-IN" sz="900" baseline="0">
                <a:latin typeface="Segoe UI Variable Small Semibol" pitchFamily="2" charset="0"/>
              </a:rPr>
              <a:t> rate</a:t>
            </a:r>
            <a:endParaRPr lang="en-IN" sz="1100" b="1">
              <a:latin typeface="Segoe UI Variable Small Semibol" pitchFamily="2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C7E4DDD4-6DFA-41F0-A1AE-324C72548C69}"/>
              </a:ext>
            </a:extLst>
          </xdr:cNvPr>
          <xdr:cNvSpPr/>
        </xdr:nvSpPr>
        <xdr:spPr>
          <a:xfrm>
            <a:off x="6420465" y="727587"/>
            <a:ext cx="1219200" cy="396000"/>
          </a:xfrm>
          <a:prstGeom prst="rect">
            <a:avLst/>
          </a:prstGeom>
          <a:solidFill>
            <a:srgbClr val="35936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200">
                <a:latin typeface="Segoe UI Variable Small Semibol" pitchFamily="2" charset="0"/>
              </a:rPr>
              <a:t>Avg Satisfaction Score </a:t>
            </a:r>
          </a:p>
        </xdr:txBody>
      </xdr:sp>
    </xdr:grpSp>
    <xdr:clientData/>
  </xdr:twoCellAnchor>
  <xdr:twoCellAnchor editAs="absolute">
    <xdr:from>
      <xdr:col>0</xdr:col>
      <xdr:colOff>0</xdr:colOff>
      <xdr:row>0</xdr:row>
      <xdr:rowOff>40068</xdr:rowOff>
    </xdr:from>
    <xdr:to>
      <xdr:col>38</xdr:col>
      <xdr:colOff>258304</xdr:colOff>
      <xdr:row>5</xdr:row>
      <xdr:rowOff>12911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20A6748-1C51-4255-A094-C7DDE62F5B9A}"/>
            </a:ext>
          </a:extLst>
        </xdr:cNvPr>
        <xdr:cNvSpPr/>
      </xdr:nvSpPr>
      <xdr:spPr>
        <a:xfrm>
          <a:off x="0" y="40068"/>
          <a:ext cx="24319423" cy="876911"/>
        </a:xfrm>
        <a:prstGeom prst="rect">
          <a:avLst/>
        </a:prstGeom>
        <a:solidFill>
          <a:srgbClr val="359360"/>
        </a:solidFill>
        <a:ln>
          <a:noFill/>
        </a:ln>
        <a:scene3d>
          <a:camera prst="orthographicFront"/>
          <a:lightRig rig="threePt" dir="t"/>
        </a:scene3d>
        <a:sp3d>
          <a:bevelT/>
          <a:bevelB w="152400" h="50800" prst="softRound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latin typeface="Segoe UI Variable Display" pitchFamily="2" charset="0"/>
            </a:rPr>
            <a:t>Digital Marketing Performance Dashboard</a:t>
          </a:r>
        </a:p>
        <a:p>
          <a:pPr algn="ctr"/>
          <a:r>
            <a:rPr lang="en-IN" sz="1200">
              <a:solidFill>
                <a:schemeClr val="bg2"/>
              </a:solidFill>
              <a:latin typeface="Segoe UI Variable Small Semibol" pitchFamily="2" charset="0"/>
            </a:rPr>
            <a:t>The dashboard visualizes multi-channel campaign outcomes through key performance indicators, helping identify patterns in audience response and optimize future marketing </a:t>
          </a:r>
          <a:r>
            <a:rPr lang="en-IN" sz="1200">
              <a:solidFill>
                <a:schemeClr val="bg2"/>
              </a:solidFill>
              <a:latin typeface="Segoe UI Variable Small Semibol" pitchFamily="2" charset="0"/>
              <a:ea typeface="+mn-ea"/>
              <a:cs typeface="+mn-cs"/>
            </a:rPr>
            <a:t>strategies</a:t>
          </a:r>
        </a:p>
      </xdr:txBody>
    </xdr:sp>
    <xdr:clientData/>
  </xdr:twoCellAnchor>
  <xdr:twoCellAnchor editAs="absolute">
    <xdr:from>
      <xdr:col>1</xdr:col>
      <xdr:colOff>110177</xdr:colOff>
      <xdr:row>4</xdr:row>
      <xdr:rowOff>82403</xdr:rowOff>
    </xdr:from>
    <xdr:to>
      <xdr:col>6</xdr:col>
      <xdr:colOff>136006</xdr:colOff>
      <xdr:row>6</xdr:row>
      <xdr:rowOff>154228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0D88DC1-92C9-4C23-B9FA-E6954F1EF831}"/>
            </a:ext>
          </a:extLst>
        </xdr:cNvPr>
        <xdr:cNvSpPr txBox="1"/>
      </xdr:nvSpPr>
      <xdr:spPr>
        <a:xfrm>
          <a:off x="717194" y="805657"/>
          <a:ext cx="3060914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N" sz="2000">
              <a:solidFill>
                <a:schemeClr val="accent2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Financial KPIs</a:t>
          </a:r>
        </a:p>
      </xdr:txBody>
    </xdr:sp>
    <xdr:clientData/>
  </xdr:twoCellAnchor>
  <xdr:twoCellAnchor editAs="absolute">
    <xdr:from>
      <xdr:col>9</xdr:col>
      <xdr:colOff>10405</xdr:colOff>
      <xdr:row>4</xdr:row>
      <xdr:rowOff>82403</xdr:rowOff>
    </xdr:from>
    <xdr:to>
      <xdr:col>13</xdr:col>
      <xdr:colOff>221465</xdr:colOff>
      <xdr:row>6</xdr:row>
      <xdr:rowOff>154228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B890AA8-644A-4166-98CD-CF01CE245004}"/>
            </a:ext>
          </a:extLst>
        </xdr:cNvPr>
        <xdr:cNvSpPr txBox="1"/>
      </xdr:nvSpPr>
      <xdr:spPr>
        <a:xfrm>
          <a:off x="5473558" y="805657"/>
          <a:ext cx="2639127" cy="433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r>
            <a:rPr lang="en-IN" sz="2000">
              <a:solidFill>
                <a:schemeClr val="accent2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rPr>
            <a:t>Performance KPIs</a:t>
          </a:r>
        </a:p>
      </xdr:txBody>
    </xdr:sp>
    <xdr:clientData/>
  </xdr:twoCellAnchor>
  <xdr:twoCellAnchor editAs="absolute">
    <xdr:from>
      <xdr:col>23</xdr:col>
      <xdr:colOff>228064</xdr:colOff>
      <xdr:row>57</xdr:row>
      <xdr:rowOff>130208</xdr:rowOff>
    </xdr:from>
    <xdr:to>
      <xdr:col>29</xdr:col>
      <xdr:colOff>52887</xdr:colOff>
      <xdr:row>67</xdr:row>
      <xdr:rowOff>123021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54D8651-7480-461A-8B05-EB99BF2B5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17</xdr:col>
      <xdr:colOff>32515</xdr:colOff>
      <xdr:row>4</xdr:row>
      <xdr:rowOff>59606</xdr:rowOff>
    </xdr:from>
    <xdr:to>
      <xdr:col>24</xdr:col>
      <xdr:colOff>509810</xdr:colOff>
      <xdr:row>7</xdr:row>
      <xdr:rowOff>74333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1160C0-263D-40D6-AB66-7F486CA3251B}"/>
            </a:ext>
          </a:extLst>
        </xdr:cNvPr>
        <xdr:cNvSpPr txBox="1"/>
      </xdr:nvSpPr>
      <xdr:spPr>
        <a:xfrm>
          <a:off x="10351803" y="782860"/>
          <a:ext cx="4726414" cy="557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2800">
              <a:ln>
                <a:noFill/>
              </a:ln>
              <a:solidFill>
                <a:schemeClr val="accent2"/>
              </a:solidFill>
              <a:latin typeface="Segoe UI Variable Display Semib" pitchFamily="2" charset="0"/>
              <a:ea typeface="+mn-ea"/>
              <a:cs typeface="+mn-cs"/>
            </a:rPr>
            <a:t>Campaign </a:t>
          </a:r>
          <a:r>
            <a:rPr lang="en-IN" sz="2800" b="1">
              <a:ln>
                <a:noFill/>
              </a:ln>
              <a:solidFill>
                <a:schemeClr val="accent2"/>
              </a:solidFill>
              <a:latin typeface="Segoe UI Variable Display Semib" pitchFamily="2" charset="0"/>
              <a:ea typeface="+mn-ea"/>
              <a:cs typeface="+mn-cs"/>
            </a:rPr>
            <a:t>Performance</a:t>
          </a:r>
        </a:p>
      </xdr:txBody>
    </xdr:sp>
    <xdr:clientData/>
  </xdr:twoCellAnchor>
  <xdr:twoCellAnchor editAs="absolute">
    <xdr:from>
      <xdr:col>15</xdr:col>
      <xdr:colOff>53839</xdr:colOff>
      <xdr:row>7</xdr:row>
      <xdr:rowOff>110761</xdr:rowOff>
    </xdr:from>
    <xdr:to>
      <xdr:col>26</xdr:col>
      <xdr:colOff>488487</xdr:colOff>
      <xdr:row>46</xdr:row>
      <xdr:rowOff>154979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8D2A13D-E22C-4072-952C-76D6BD3F8DE7}"/>
            </a:ext>
          </a:extLst>
        </xdr:cNvPr>
        <xdr:cNvGrpSpPr/>
      </xdr:nvGrpSpPr>
      <xdr:grpSpPr>
        <a:xfrm>
          <a:off x="9197839" y="1355361"/>
          <a:ext cx="7140248" cy="6978418"/>
          <a:chOff x="0" y="2088220"/>
          <a:chExt cx="7512739" cy="5024152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FA9E0D17-BFAF-4909-9A9F-F32A8039B9FE}"/>
              </a:ext>
            </a:extLst>
          </xdr:cNvPr>
          <xdr:cNvSpPr/>
        </xdr:nvSpPr>
        <xdr:spPr>
          <a:xfrm>
            <a:off x="0" y="2088220"/>
            <a:ext cx="7512739" cy="5024152"/>
          </a:xfrm>
          <a:prstGeom prst="roundRect">
            <a:avLst>
              <a:gd name="adj" fmla="val 7756"/>
            </a:avLst>
          </a:prstGeom>
          <a:noFill/>
          <a:ln w="44450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930E93E1-66FB-4583-9E06-138711FB9C60}"/>
              </a:ext>
            </a:extLst>
          </xdr:cNvPr>
          <xdr:cNvGraphicFramePr>
            <a:graphicFrameLocks/>
          </xdr:cNvGraphicFramePr>
        </xdr:nvGraphicFramePr>
        <xdr:xfrm>
          <a:off x="235873" y="2237230"/>
          <a:ext cx="3432294" cy="23637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8A244017-9D4B-4560-8629-D7DB01142B73}"/>
              </a:ext>
            </a:extLst>
          </xdr:cNvPr>
          <xdr:cNvGraphicFramePr>
            <a:graphicFrameLocks/>
          </xdr:cNvGraphicFramePr>
        </xdr:nvGraphicFramePr>
        <xdr:xfrm>
          <a:off x="3555710" y="2258824"/>
          <a:ext cx="3854933" cy="232034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37" name="Chart 36">
            <a:extLst>
              <a:ext uri="{FF2B5EF4-FFF2-40B4-BE49-F238E27FC236}">
                <a16:creationId xmlns:a16="http://schemas.microsoft.com/office/drawing/2014/main" id="{F69A8A56-2E50-4FCF-80DB-0717661AFA44}"/>
              </a:ext>
            </a:extLst>
          </xdr:cNvPr>
          <xdr:cNvGraphicFramePr>
            <a:graphicFrameLocks/>
          </xdr:cNvGraphicFramePr>
        </xdr:nvGraphicFramePr>
        <xdr:xfrm>
          <a:off x="218967" y="4651975"/>
          <a:ext cx="7031193" cy="2274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4</xdr:col>
      <xdr:colOff>429283</xdr:colOff>
      <xdr:row>12</xdr:row>
      <xdr:rowOff>130141</xdr:rowOff>
    </xdr:from>
    <xdr:to>
      <xdr:col>10</xdr:col>
      <xdr:colOff>56729</xdr:colOff>
      <xdr:row>15</xdr:row>
      <xdr:rowOff>99073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2920137-5BE2-4029-960C-D393F3F6B592}"/>
            </a:ext>
          </a:extLst>
        </xdr:cNvPr>
        <xdr:cNvSpPr txBox="1"/>
      </xdr:nvSpPr>
      <xdr:spPr>
        <a:xfrm>
          <a:off x="2857351" y="2299904"/>
          <a:ext cx="3269547" cy="511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>
              <a:ln>
                <a:noFill/>
              </a:ln>
              <a:solidFill>
                <a:schemeClr val="accent2"/>
              </a:solidFill>
              <a:latin typeface="Segoe UI Variable Display Semib" pitchFamily="2" charset="0"/>
              <a:ea typeface="+mn-ea"/>
              <a:cs typeface="+mn-cs"/>
            </a:rPr>
            <a:t>Audience Behavior</a:t>
          </a:r>
        </a:p>
      </xdr:txBody>
    </xdr:sp>
    <xdr:clientData/>
  </xdr:twoCellAnchor>
  <xdr:twoCellAnchor editAs="absolute">
    <xdr:from>
      <xdr:col>28</xdr:col>
      <xdr:colOff>454384</xdr:colOff>
      <xdr:row>4</xdr:row>
      <xdr:rowOff>111266</xdr:rowOff>
    </xdr:from>
    <xdr:to>
      <xdr:col>35</xdr:col>
      <xdr:colOff>8311</xdr:colOff>
      <xdr:row>7</xdr:row>
      <xdr:rowOff>87817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C81F82C-5CB1-446B-BD54-8003A1E8B234}"/>
            </a:ext>
          </a:extLst>
        </xdr:cNvPr>
        <xdr:cNvSpPr txBox="1"/>
      </xdr:nvSpPr>
      <xdr:spPr>
        <a:xfrm>
          <a:off x="17450859" y="834520"/>
          <a:ext cx="4797520" cy="518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IN" sz="2800">
              <a:ln>
                <a:noFill/>
              </a:ln>
              <a:solidFill>
                <a:schemeClr val="accent2"/>
              </a:solidFill>
              <a:latin typeface="Segoe UI Variable Display Semib" pitchFamily="2" charset="0"/>
              <a:ea typeface="+mn-ea"/>
              <a:cs typeface="+mn-cs"/>
            </a:rPr>
            <a:t>Efficiency</a:t>
          </a:r>
        </a:p>
      </xdr:txBody>
    </xdr:sp>
    <xdr:clientData/>
  </xdr:twoCellAnchor>
  <xdr:twoCellAnchor editAs="absolute">
    <xdr:from>
      <xdr:col>0</xdr:col>
      <xdr:colOff>46892</xdr:colOff>
      <xdr:row>15</xdr:row>
      <xdr:rowOff>88927</xdr:rowOff>
    </xdr:from>
    <xdr:to>
      <xdr:col>14</xdr:col>
      <xdr:colOff>439119</xdr:colOff>
      <xdr:row>47</xdr:row>
      <xdr:rowOff>12916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01E0B1E-AF16-4111-A05F-840D77725092}"/>
            </a:ext>
          </a:extLst>
        </xdr:cNvPr>
        <xdr:cNvGrpSpPr/>
      </xdr:nvGrpSpPr>
      <xdr:grpSpPr>
        <a:xfrm>
          <a:off x="46892" y="2755927"/>
          <a:ext cx="8926627" cy="5613589"/>
          <a:chOff x="7544655" y="2535458"/>
          <a:chExt cx="7511670" cy="6703140"/>
        </a:xfrm>
      </xdr:grpSpPr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DB00480D-8E6A-408C-AC74-774AC459F66F}"/>
              </a:ext>
            </a:extLst>
          </xdr:cNvPr>
          <xdr:cNvSpPr/>
        </xdr:nvSpPr>
        <xdr:spPr>
          <a:xfrm>
            <a:off x="7544655" y="2535458"/>
            <a:ext cx="7511670" cy="6703140"/>
          </a:xfrm>
          <a:prstGeom prst="roundRect">
            <a:avLst>
              <a:gd name="adj" fmla="val 7756"/>
            </a:avLst>
          </a:prstGeom>
          <a:noFill/>
          <a:ln w="44450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20" name="Chart 19">
            <a:extLst>
              <a:ext uri="{FF2B5EF4-FFF2-40B4-BE49-F238E27FC236}">
                <a16:creationId xmlns:a16="http://schemas.microsoft.com/office/drawing/2014/main" id="{3088FA8E-CAEF-4DA8-B816-2101DB90BF05}"/>
              </a:ext>
            </a:extLst>
          </xdr:cNvPr>
          <xdr:cNvGraphicFramePr>
            <a:graphicFrameLocks/>
          </xdr:cNvGraphicFramePr>
        </xdr:nvGraphicFramePr>
        <xdr:xfrm>
          <a:off x="7698212" y="2759233"/>
          <a:ext cx="7195631" cy="325965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B931E956-12E2-483A-A1EE-A0E54C4C0994}"/>
              </a:ext>
            </a:extLst>
          </xdr:cNvPr>
          <xdr:cNvGraphicFramePr>
            <a:graphicFrameLocks/>
          </xdr:cNvGraphicFramePr>
        </xdr:nvGraphicFramePr>
        <xdr:xfrm>
          <a:off x="7796705" y="6133634"/>
          <a:ext cx="7037501" cy="27372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 editAs="absolute">
    <xdr:from>
      <xdr:col>27</xdr:col>
      <xdr:colOff>48557</xdr:colOff>
      <xdr:row>7</xdr:row>
      <xdr:rowOff>167894</xdr:rowOff>
    </xdr:from>
    <xdr:to>
      <xdr:col>36</xdr:col>
      <xdr:colOff>414138</xdr:colOff>
      <xdr:row>46</xdr:row>
      <xdr:rowOff>116233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F6E2EC2-480A-4D2D-A7FB-26D16E37CF39}"/>
            </a:ext>
          </a:extLst>
        </xdr:cNvPr>
        <xdr:cNvGrpSpPr/>
      </xdr:nvGrpSpPr>
      <xdr:grpSpPr>
        <a:xfrm>
          <a:off x="16507757" y="1412494"/>
          <a:ext cx="6855281" cy="6882539"/>
          <a:chOff x="15345506" y="1194394"/>
          <a:chExt cx="6851621" cy="6600563"/>
        </a:xfrm>
      </xdr:grpSpPr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DEABAA74-742B-4DD3-ABBC-AA57FB9B53D5}"/>
              </a:ext>
            </a:extLst>
          </xdr:cNvPr>
          <xdr:cNvSpPr/>
        </xdr:nvSpPr>
        <xdr:spPr>
          <a:xfrm>
            <a:off x="15345506" y="1194394"/>
            <a:ext cx="6851621" cy="6600563"/>
          </a:xfrm>
          <a:prstGeom prst="roundRect">
            <a:avLst>
              <a:gd name="adj" fmla="val 7756"/>
            </a:avLst>
          </a:prstGeom>
          <a:noFill/>
          <a:ln w="44450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199B7F92-92D8-4181-977A-B91A4E8B46CC}"/>
              </a:ext>
            </a:extLst>
          </xdr:cNvPr>
          <xdr:cNvGraphicFramePr>
            <a:graphicFrameLocks/>
          </xdr:cNvGraphicFramePr>
        </xdr:nvGraphicFramePr>
        <xdr:xfrm>
          <a:off x="15517091" y="1528102"/>
          <a:ext cx="6251863" cy="32549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45" name="Chart 44">
            <a:extLst>
              <a:ext uri="{FF2B5EF4-FFF2-40B4-BE49-F238E27FC236}">
                <a16:creationId xmlns:a16="http://schemas.microsoft.com/office/drawing/2014/main" id="{82FE38C5-8D3B-4241-A202-928E1B8E820B}"/>
              </a:ext>
            </a:extLst>
          </xdr:cNvPr>
          <xdr:cNvGraphicFramePr>
            <a:graphicFrameLocks/>
          </xdr:cNvGraphicFramePr>
        </xdr:nvGraphicFramePr>
        <xdr:xfrm>
          <a:off x="15512142" y="4887685"/>
          <a:ext cx="6498771" cy="26586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30</xdr:col>
      <xdr:colOff>516611</xdr:colOff>
      <xdr:row>9</xdr:row>
      <xdr:rowOff>64576</xdr:rowOff>
    </xdr:from>
    <xdr:to>
      <xdr:col>34</xdr:col>
      <xdr:colOff>916983</xdr:colOff>
      <xdr:row>11</xdr:row>
      <xdr:rowOff>167898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91B7E8F-D12A-471E-B5FE-C4DFA0B3F8B2}"/>
            </a:ext>
          </a:extLst>
        </xdr:cNvPr>
        <xdr:cNvSpPr txBox="1"/>
      </xdr:nvSpPr>
      <xdr:spPr>
        <a:xfrm>
          <a:off x="18727119" y="1691898"/>
          <a:ext cx="2828440" cy="464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rgbClr val="4D4D4D"/>
              </a:solidFill>
              <a:latin typeface="+mn-lt"/>
            </a:rPr>
            <a:t>Avg CAC VS Avg Satisfaction</a:t>
          </a:r>
          <a:r>
            <a:rPr lang="en-IN" sz="1400" baseline="0">
              <a:solidFill>
                <a:srgbClr val="4D4D4D"/>
              </a:solidFill>
              <a:latin typeface="+mn-lt"/>
            </a:rPr>
            <a:t> Score</a:t>
          </a:r>
          <a:endParaRPr lang="en-IN" sz="1400">
            <a:solidFill>
              <a:srgbClr val="4D4D4D"/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0.17016</cdr:x>
      <cdr:y>0.20474</cdr:y>
    </cdr:from>
    <cdr:to>
      <cdr:x>0.86794</cdr:x>
      <cdr:y>0.34523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F6EF59-3D8C-49FE-80CB-2A1DB6C05152}"/>
            </a:ext>
          </a:extLst>
        </cdr:cNvPr>
        <cdr:cNvSpPr txBox="1"/>
      </cdr:nvSpPr>
      <cdr:spPr>
        <a:xfrm xmlns:a="http://schemas.openxmlformats.org/drawingml/2006/main">
          <a:off x="638652" y="603787"/>
          <a:ext cx="2618912" cy="4142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0.29096</cdr:x>
      <cdr:y>0.01485</cdr:y>
    </cdr:from>
    <cdr:to>
      <cdr:x>0.77937</cdr:x>
      <cdr:y>0.11731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23F697-3701-4F0E-B19E-942CBA46347A}"/>
            </a:ext>
          </a:extLst>
        </cdr:cNvPr>
        <cdr:cNvSpPr txBox="1"/>
      </cdr:nvSpPr>
      <cdr:spPr>
        <a:xfrm xmlns:a="http://schemas.openxmlformats.org/drawingml/2006/main">
          <a:off x="1061789" y="48655"/>
          <a:ext cx="1782306" cy="3357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IN" sz="1200">
              <a:solidFill>
                <a:srgbClr val="4D4D4D"/>
              </a:solidFill>
            </a:rPr>
            <a:t>Profit</a:t>
          </a:r>
          <a:r>
            <a:rPr lang="en-IN" sz="1200" baseline="0">
              <a:solidFill>
                <a:srgbClr val="4D4D4D"/>
              </a:solidFill>
            </a:rPr>
            <a:t> by Campaign</a:t>
          </a:r>
          <a:endParaRPr lang="en-IN" sz="1200">
            <a:solidFill>
              <a:srgbClr val="4D4D4D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0.33418</cdr:x>
      <cdr:y>0.04179</cdr:y>
    </cdr:from>
    <cdr:to>
      <cdr:x>0.76401</cdr:x>
      <cdr:y>0.145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747B39-C605-4283-B31D-F1F5E73054EB}"/>
            </a:ext>
          </a:extLst>
        </cdr:cNvPr>
        <cdr:cNvSpPr txBox="1"/>
      </cdr:nvSpPr>
      <cdr:spPr>
        <a:xfrm xmlns:a="http://schemas.openxmlformats.org/drawingml/2006/main">
          <a:off x="2250109" y="136848"/>
          <a:ext cx="2894108" cy="337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>
              <a:solidFill>
                <a:srgbClr val="4D4D4D"/>
              </a:solidFill>
            </a:rPr>
            <a:t>Avg Conversion</a:t>
          </a:r>
          <a:r>
            <a:rPr lang="en-IN" sz="1400" baseline="0">
              <a:solidFill>
                <a:srgbClr val="4D4D4D"/>
              </a:solidFill>
            </a:rPr>
            <a:t> % vs Avg Bounce %</a:t>
          </a:r>
          <a:endParaRPr lang="en-IN" sz="1400">
            <a:solidFill>
              <a:srgbClr val="4D4D4D"/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" refreshedDate="45961.504587847223" createdVersion="7" refreshedVersion="7" minRefreshableVersion="3" recordCount="350" xr:uid="{757B54F7-63A2-4CC2-A8DC-C25AB3BB4007}">
  <cacheSource type="worksheet">
    <worksheetSource name="Main_Table1"/>
  </cacheSource>
  <cacheFields count="29">
    <cacheField name="Campaign_ID" numFmtId="0">
      <sharedItems/>
    </cacheField>
    <cacheField name="Campaign_Name" numFmtId="0">
      <sharedItems containsBlank="1" count="6">
        <s v="Year End Clearance"/>
        <s v="Mega Discount Days"/>
        <s v="New Launch"/>
        <s v="Festive Offer"/>
        <s v="Summer Sale"/>
        <m u="1"/>
      </sharedItems>
    </cacheField>
    <cacheField name="Start_Date" numFmtId="14">
      <sharedItems containsSemiMixedTypes="0" containsNonDate="0" containsDate="1" containsString="0" minDate="2024-01-01T00:00:00" maxDate="2024-10-21T00:00:00"/>
    </cacheField>
    <cacheField name="End_Date" numFmtId="14">
      <sharedItems containsSemiMixedTypes="0" containsNonDate="0" containsDate="1" containsString="0" minDate="2024-01-31T00:00:00" maxDate="2024-11-26T00:00:00"/>
    </cacheField>
    <cacheField name="Marketing_Channel" numFmtId="0">
      <sharedItems containsBlank="1" count="7">
        <s v="SEO"/>
        <s v="Email"/>
        <s v="Social Media"/>
        <s v="Influencer"/>
        <s v="Google Ads"/>
        <s v="TV"/>
        <m u="1"/>
      </sharedItems>
    </cacheField>
    <cacheField name="Region" numFmtId="0">
      <sharedItems containsBlank="1" count="5">
        <s v="West"/>
        <s v="North"/>
        <s v="East"/>
        <s v="South"/>
        <m u="1"/>
      </sharedItems>
    </cacheField>
    <cacheField name="Target_Audience_Age" numFmtId="0">
      <sharedItems count="4">
        <s v="18-25"/>
        <s v="26-35"/>
        <s v="46+"/>
        <s v="36-45"/>
      </sharedItems>
    </cacheField>
    <cacheField name="Gender" numFmtId="0">
      <sharedItems count="3">
        <s v="Female"/>
        <s v="Other"/>
        <s v="Male"/>
      </sharedItems>
    </cacheField>
    <cacheField name="Ad_Spend" numFmtId="0">
      <sharedItems containsSemiMixedTypes="0" containsString="0" containsNumber="1" minValue="5305.74" maxValue="99843.01" count="350">
        <n v="42872.99"/>
        <n v="18905.53"/>
        <n v="39915.769999999997"/>
        <n v="11476.37"/>
        <n v="7452.13"/>
        <n v="17840.8"/>
        <n v="96495.94"/>
        <n v="57205.31"/>
        <n v="96753.11"/>
        <n v="46087.3"/>
        <n v="34622.53"/>
        <n v="53083.48"/>
        <n v="46753.61"/>
        <n v="15038.15"/>
        <n v="65878.5"/>
        <n v="25523.63"/>
        <n v="63860.86"/>
        <n v="66769.100000000006"/>
        <n v="19442.36"/>
        <n v="10828.21"/>
        <n v="79172.350000000006"/>
        <n v="48681.04"/>
        <n v="10525.56"/>
        <n v="99512.3"/>
        <n v="10489.15"/>
        <n v="71028.350000000006"/>
        <n v="98449.5"/>
        <n v="27722.11"/>
        <n v="18513.689999999999"/>
        <n v="16531.57"/>
        <n v="33811.14"/>
        <n v="14599.35"/>
        <n v="70755.33"/>
        <n v="10917.72"/>
        <n v="53395.1"/>
        <n v="99686.2"/>
        <n v="82327.179999999993"/>
        <n v="63445.85"/>
        <n v="34094.089999999997"/>
        <n v="64270.1"/>
        <n v="55068.94"/>
        <n v="45477.919999999998"/>
        <n v="17417.490000000002"/>
        <n v="89227.4"/>
        <n v="47729.54"/>
        <n v="23489.14"/>
        <n v="39937.14"/>
        <n v="44342.33"/>
        <n v="83616.100000000006"/>
        <n v="74693.37"/>
        <n v="78083.960000000006"/>
        <n v="6047.97"/>
        <n v="44534.63"/>
        <n v="50727.69"/>
        <n v="6823.27"/>
        <n v="29682.25"/>
        <n v="77227.53"/>
        <n v="18025.419999999998"/>
        <n v="55854.46"/>
        <n v="25444.18"/>
        <n v="6151.47"/>
        <n v="27914.14"/>
        <n v="97708.01"/>
        <n v="81146.03"/>
        <n v="96159.78"/>
        <n v="51346.13"/>
        <n v="15424.94"/>
        <n v="57056.15"/>
        <n v="48165.85"/>
        <n v="85213.92"/>
        <n v="14317.85"/>
        <n v="51382.91"/>
        <n v="19254.62"/>
        <n v="35844.21"/>
        <n v="75048.92"/>
        <n v="50221.72"/>
        <n v="40709.39"/>
        <n v="42475.25"/>
        <n v="48647.44"/>
        <n v="79576.570000000007"/>
        <n v="89748.05"/>
        <n v="95756.800000000003"/>
        <n v="79755.820000000007"/>
        <n v="34963.660000000003"/>
        <n v="70372.800000000003"/>
        <n v="46572.3"/>
        <n v="29193.71"/>
        <n v="84882.8"/>
        <n v="8650.5"/>
        <n v="90667.39"/>
        <n v="48840.36"/>
        <n v="65534.14"/>
        <n v="67638.62"/>
        <n v="90036.19"/>
        <n v="65483.62"/>
        <n v="63323.69"/>
        <n v="11331.94"/>
        <n v="54248.76"/>
        <n v="19266.060000000001"/>
        <n v="75056.210000000006"/>
        <n v="53661.08"/>
        <n v="69621.64"/>
        <n v="8958.93"/>
        <n v="13055.24"/>
        <n v="73050.720000000001"/>
        <n v="11848.01"/>
        <n v="11769.39"/>
        <n v="6150.31"/>
        <n v="95867.63"/>
        <n v="75063.289999999994"/>
        <n v="38558.879999999997"/>
        <n v="33170.879999999997"/>
        <n v="38221.81"/>
        <n v="78592.09"/>
        <n v="67830.210000000006"/>
        <n v="22593.58"/>
        <n v="21540.39"/>
        <n v="14347.59"/>
        <n v="67728.759999999995"/>
        <n v="77615.399999999994"/>
        <n v="30179.41"/>
        <n v="6989.77"/>
        <n v="12806.31"/>
        <n v="96946.7"/>
        <n v="33067.25"/>
        <n v="78076.2"/>
        <n v="64343.040000000001"/>
        <n v="41284.269999999997"/>
        <n v="24540.29"/>
        <n v="16531.71"/>
        <n v="63426.23"/>
        <n v="78590.210000000006"/>
        <n v="66170.899999999994"/>
        <n v="55378.7"/>
        <n v="8985.3700000000008"/>
        <n v="97006.43"/>
        <n v="80877.850000000006"/>
        <n v="32818.089999999997"/>
        <n v="98097.18"/>
        <n v="62178.75"/>
        <n v="60330.15"/>
        <n v="76066.95"/>
        <n v="82118.13"/>
        <n v="67365.47"/>
        <n v="17169.099999999999"/>
        <n v="37135.410000000003"/>
        <n v="93167.95"/>
        <n v="26338.48"/>
        <n v="40355.870000000003"/>
        <n v="46047.3"/>
        <n v="46743.47"/>
        <n v="63229.26"/>
        <n v="94592.2"/>
        <n v="27865.81"/>
        <n v="16542.63"/>
        <n v="23759.7"/>
        <n v="89257.87"/>
        <n v="66352.03"/>
        <n v="32161.14"/>
        <n v="82514.960000000006"/>
        <n v="86830.15"/>
        <n v="85418.86"/>
        <n v="92298.02"/>
        <n v="28962.9"/>
        <n v="76728.98"/>
        <n v="48751.25"/>
        <n v="84989.86"/>
        <n v="74206.61"/>
        <n v="78762.509999999995"/>
        <n v="67335.37"/>
        <n v="21855.73"/>
        <n v="56777.56"/>
        <n v="98543.63"/>
        <n v="94051.87"/>
        <n v="9101.5"/>
        <n v="20657.41"/>
        <n v="17514.23"/>
        <n v="73968.09"/>
        <n v="82689.61"/>
        <n v="25283.58"/>
        <n v="53056.01"/>
        <n v="84866.79"/>
        <n v="74616.149999999994"/>
        <n v="56512.53"/>
        <n v="61083.03"/>
        <n v="53294.25"/>
        <n v="33267.1"/>
        <n v="58677.09"/>
        <n v="70444.100000000006"/>
        <n v="87965.68"/>
        <n v="65447.68"/>
        <n v="77306.55"/>
        <n v="20206.810000000001"/>
        <n v="48847.96"/>
        <n v="5886.5"/>
        <n v="28434.49"/>
        <n v="74013.86"/>
        <n v="99221.95"/>
        <n v="14421.92"/>
        <n v="43141.96"/>
        <n v="81006.740000000005"/>
        <n v="24383.39"/>
        <n v="57733.07"/>
        <n v="74641.77"/>
        <n v="63518.62"/>
        <n v="22862.35"/>
        <n v="38761.53"/>
        <n v="79460.22"/>
        <n v="57651.519999999997"/>
        <n v="5496.81"/>
        <n v="77294.12"/>
        <n v="8354.58"/>
        <n v="75844.710000000006"/>
        <n v="24235.65"/>
        <n v="96016.98"/>
        <n v="39954.370000000003"/>
        <n v="36058.5"/>
        <n v="19144.36"/>
        <n v="34032.400000000001"/>
        <n v="88281.82"/>
        <n v="99651.76"/>
        <n v="39989.410000000003"/>
        <n v="47618.01"/>
        <n v="73596.740000000005"/>
        <n v="89188.6"/>
        <n v="61339.21"/>
        <n v="42194.94"/>
        <n v="44199.07"/>
        <n v="71083.72"/>
        <n v="5305.74"/>
        <n v="63860.99"/>
        <n v="38771.839999999997"/>
        <n v="80448.75"/>
        <n v="13834.11"/>
        <n v="60879.22"/>
        <n v="50692.42"/>
        <n v="66020.92"/>
        <n v="11161.09"/>
        <n v="60098.46"/>
        <n v="58341.04"/>
        <n v="58262.71"/>
        <n v="62331.33"/>
        <n v="69264.45"/>
        <n v="81473.95"/>
        <n v="30632.97"/>
        <n v="83379.69"/>
        <n v="52334.29"/>
        <n v="12320.54"/>
        <n v="10562.34"/>
        <n v="36752.639999999999"/>
        <n v="79565.210000000006"/>
        <n v="72229.69"/>
        <n v="79918.42"/>
        <n v="54140.56"/>
        <n v="46818.9"/>
        <n v="19007.990000000002"/>
        <n v="36178.31"/>
        <n v="46231.839999999997"/>
        <n v="13417.04"/>
        <n v="25958.14"/>
        <n v="61831.4"/>
        <n v="74888"/>
        <n v="99843.01"/>
        <n v="93645.77"/>
        <n v="66043.69"/>
        <n v="45018.57"/>
        <n v="65436.85"/>
        <n v="79636.899999999994"/>
        <n v="16241.94"/>
        <n v="43940.959999999999"/>
        <n v="84781.22"/>
        <n v="41464.129999999997"/>
        <n v="59327.87"/>
        <n v="60838.09"/>
        <n v="22525.24"/>
        <n v="39412.370000000003"/>
        <n v="36778.57"/>
        <n v="7488.69"/>
        <n v="7298.22"/>
        <n v="84011.22"/>
        <n v="30941.73"/>
        <n v="54217.48"/>
        <n v="33378.93"/>
        <n v="94364.53"/>
        <n v="29633.19"/>
        <n v="45817.4"/>
        <n v="87909.37"/>
        <n v="84983.69"/>
        <n v="22679.63"/>
        <n v="81251.11"/>
        <n v="48527.75"/>
        <n v="50882.04"/>
        <n v="17680.599999999999"/>
        <n v="12657.14"/>
        <n v="74154.23"/>
        <n v="52163.81"/>
        <n v="46500.82"/>
        <n v="74303.28"/>
        <n v="77723.73"/>
        <n v="20096.28"/>
        <n v="62971.39"/>
        <n v="17858.64"/>
        <n v="76380.63"/>
        <n v="67410.740000000005"/>
        <n v="95878.39"/>
        <n v="11551.01"/>
        <n v="10420.200000000001"/>
        <n v="31807.77"/>
        <n v="29862.04"/>
        <n v="28462.99"/>
        <n v="91094.19"/>
        <n v="28706.89"/>
        <n v="30835.22"/>
        <n v="77142.83"/>
        <n v="47725.29"/>
        <n v="78787.5"/>
        <n v="11209.78"/>
        <n v="51319.26"/>
        <n v="8193.2900000000009"/>
        <n v="10952.05"/>
        <n v="91111.56"/>
        <n v="18228.310000000001"/>
        <n v="55579.96"/>
        <n v="44054.080000000002"/>
        <n v="37997.620000000003"/>
        <n v="90484.17"/>
        <n v="7073.22"/>
        <n v="68060.02"/>
        <n v="96522.47"/>
        <n v="58215.98"/>
        <n v="93998.13"/>
        <n v="9964.5"/>
        <n v="44785.37"/>
        <n v="29714.99"/>
        <n v="74427.990000000005"/>
        <n v="98223.22"/>
        <n v="29370.36"/>
        <n v="67146.59"/>
        <n v="23819.279999999999"/>
        <n v="58706.37"/>
        <n v="49073.59"/>
        <n v="97340.51"/>
        <n v="62810.09"/>
        <n v="38203.11"/>
        <n v="15839.1"/>
        <n v="19368.45"/>
        <n v="26405.11"/>
        <n v="28841.83"/>
        <n v="85808.53"/>
        <n v="58316.160000000003"/>
      </sharedItems>
      <fieldGroup base="8">
        <rangePr startNum="5305.74" endNum="99843.01" groupInterval="10000"/>
        <groupItems count="12">
          <s v="&lt;5305.74"/>
          <s v="5305.74-15305.74"/>
          <s v="15305.74-25305.74"/>
          <s v="25305.74-35305.74"/>
          <s v="35305.74-45305.74"/>
          <s v="45305.74-55305.74"/>
          <s v="55305.74-65305.74"/>
          <s v="65305.74-75305.74"/>
          <s v="75305.74-85305.74"/>
          <s v="85305.74-95305.74"/>
          <s v="95305.74-105305.74"/>
          <s v="&gt;105305.74"/>
        </groupItems>
      </fieldGroup>
    </cacheField>
    <cacheField name="Impressions" numFmtId="0">
      <sharedItems containsSemiMixedTypes="0" containsString="0" containsNumber="1" containsInteger="1" minValue="68658" maxValue="1981342"/>
    </cacheField>
    <cacheField name="Clicks" numFmtId="0">
      <sharedItems containsSemiMixedTypes="0" containsString="0" containsNumber="1" containsInteger="1" minValue="1138" maxValue="49796"/>
    </cacheField>
    <cacheField name="Conversions" numFmtId="0">
      <sharedItems containsSemiMixedTypes="0" containsString="0" containsNumber="1" containsInteger="1" minValue="50" maxValue="1998"/>
    </cacheField>
    <cacheField name="Revenue_Generated" numFmtId="0">
      <sharedItems containsSemiMixedTypes="0" containsString="0" containsNumber="1" minValue="10106.27" maxValue="249890.54"/>
    </cacheField>
    <cacheField name="Device_Type" numFmtId="0">
      <sharedItems count="3">
        <s v="Mobile"/>
        <s v="Desktop"/>
        <s v="Tablet"/>
      </sharedItems>
    </cacheField>
    <cacheField name="Customer_Satisfaction_Score" numFmtId="0">
      <sharedItems containsSemiMixedTypes="0" containsString="0" containsNumber="1" containsInteger="1" minValue="4" maxValue="9"/>
    </cacheField>
    <cacheField name="Engagement Rate %" numFmtId="9">
      <sharedItems containsSemiMixedTypes="0" containsString="0" containsNumber="1" minValue="9.3781572472665395E-4" maxValue="0.58359648014820398"/>
    </cacheField>
    <cacheField name="Conversion Rate %" numFmtId="9">
      <sharedItems containsSemiMixedTypes="0" containsString="0" containsNumber="1" minValue="1.49901902431497E-3" maxValue="0.93974507531865603"/>
    </cacheField>
    <cacheField name="CAC" numFmtId="0">
      <sharedItems containsSemiMixedTypes="0" containsString="0" containsNumber="1" minValue="3.4026011560693643" maxValue="932.59152777777774"/>
    </cacheField>
    <cacheField name="Return on Ad spend" numFmtId="2">
      <sharedItems containsSemiMixedTypes="0" containsString="0" containsNumber="1" minValue="0.14105473227206358" maxValue="37.608620743819827"/>
    </cacheField>
    <cacheField name="Profit" numFmtId="0">
      <sharedItems containsSemiMixedTypes="0" containsString="0" containsNumber="1" minValue="-84368.37" maxValue="242419.77"/>
    </cacheField>
    <cacheField name="New End Date" numFmtId="14">
      <sharedItems containsSemiMixedTypes="0" containsNonDate="0" containsDate="1" containsString="0" minDate="2024-02-05T00:00:00" maxDate="2024-11-26T00:00:00"/>
    </cacheField>
    <cacheField name="Bounce_Rate(%)" numFmtId="0">
      <sharedItems containsString="0" containsBlank="1" containsNumber="1" minValue="10.050000000000001" maxValue="79.97"/>
    </cacheField>
    <cacheField name="Campaign Duration" numFmtId="0">
      <sharedItems containsSemiMixedTypes="0" containsString="0" containsNumber="1" containsInteger="1" minValue="1" maxValue="321"/>
    </cacheField>
    <cacheField name="Revenue per click" numFmtId="2">
      <sharedItems containsSemiMixedTypes="0" containsString="0" containsNumber="1" minValue="0.25612911872654542" maxValue="150.30699253731342"/>
    </cacheField>
    <cacheField name="Conversions per ₹ Spent" numFmtId="165">
      <sharedItems containsSemiMixedTypes="0" containsString="0" containsNumber="1" minValue="1.0722808112817047E-3" maxValue="0.2938928055720717"/>
    </cacheField>
    <cacheField name="Ad_spend % of revenue" numFmtId="0">
      <sharedItems containsSemiMixedTypes="0" containsString="0" containsNumber="1" minValue="2.65896483365274E-2" maxValue="7.0894466558641902"/>
    </cacheField>
    <cacheField name="Field1" numFmtId="0" formula="Ad_Spend/Revenue_Generated" databaseField="0"/>
    <cacheField name="Weighter roas" numFmtId="0" formula="IF(Ad_Spend=0,0,Revenue_Generated/Ad_Spend)" databaseField="0"/>
    <cacheField name="Field2" numFmtId="0" formula="Clicks/Impressions" databaseField="0"/>
  </cacheFields>
  <extLst>
    <ext xmlns:x14="http://schemas.microsoft.com/office/spreadsheetml/2009/9/main" uri="{725AE2AE-9491-48be-B2B4-4EB974FC3084}">
      <x14:pivotCacheDefinition pivotCacheId="20082262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C001"/>
    <x v="0"/>
    <d v="2024-05-29T00:00:00"/>
    <d v="2024-05-20T00:00:00"/>
    <x v="0"/>
    <x v="0"/>
    <x v="0"/>
    <x v="0"/>
    <x v="0"/>
    <n v="1947040"/>
    <n v="30492"/>
    <n v="1710"/>
    <n v="236555.75"/>
    <x v="0"/>
    <n v="8"/>
    <n v="1.5660695209138001E-2"/>
    <n v="5.6080283353010602E-2"/>
    <n v="25.071923976608186"/>
    <n v="5.5175939443458457"/>
    <n v="193682.76"/>
    <d v="2024-06-28T00:00:00"/>
    <n v="57.24"/>
    <n v="30"/>
    <n v="7.757961104552014"/>
    <n v="3.9885251763406286E-2"/>
    <n v="0.18123841842779101"/>
  </r>
  <r>
    <s v="C002"/>
    <x v="1"/>
    <d v="2024-02-27T00:00:00"/>
    <d v="2024-10-05T00:00:00"/>
    <x v="1"/>
    <x v="1"/>
    <x v="1"/>
    <x v="0"/>
    <x v="1"/>
    <n v="256487"/>
    <n v="12240"/>
    <n v="532"/>
    <n v="74552.33"/>
    <x v="1"/>
    <n v="5"/>
    <n v="4.7721716890134797E-2"/>
    <n v="4.3464052287581698E-2"/>
    <n v="35.536710526315787"/>
    <n v="3.9434139111677911"/>
    <n v="55646.8"/>
    <d v="2024-10-05T00:00:00"/>
    <n v="64.09"/>
    <n v="221"/>
    <n v="6.0908766339869285"/>
    <n v="2.8139914617574858E-2"/>
    <n v="0.25358737949571802"/>
  </r>
  <r>
    <s v="C003"/>
    <x v="2"/>
    <d v="2024-06-28T00:00:00"/>
    <d v="2024-06-29T00:00:00"/>
    <x v="1"/>
    <x v="2"/>
    <x v="0"/>
    <x v="0"/>
    <x v="2"/>
    <n v="147852"/>
    <n v="33698"/>
    <n v="958"/>
    <n v="124097.59"/>
    <x v="2"/>
    <n v="8"/>
    <n v="0.22791710629548501"/>
    <n v="2.84289868834946E-2"/>
    <n v="41.665730688935277"/>
    <n v="3.1089864983188349"/>
    <n v="84181.82"/>
    <d v="2024-06-29T00:00:00"/>
    <n v="27.27"/>
    <n v="1"/>
    <n v="3.682639622529527"/>
    <n v="2.4000539135284125E-2"/>
    <n v="0.32164822862393999"/>
  </r>
  <r>
    <s v="C004"/>
    <x v="1"/>
    <d v="2024-06-18T00:00:00"/>
    <d v="2024-07-31T00:00:00"/>
    <x v="2"/>
    <x v="1"/>
    <x v="0"/>
    <x v="0"/>
    <x v="3"/>
    <n v="1590668"/>
    <n v="27957"/>
    <n v="1184"/>
    <n v="162241.54"/>
    <x v="2"/>
    <n v="9"/>
    <n v="1.7575634890498799E-2"/>
    <n v="4.2350752942018101E-2"/>
    <n v="9.6928800675675681"/>
    <n v="14.137008479161965"/>
    <n v="150765.17000000001"/>
    <d v="2024-07-31T00:00:00"/>
    <n v="68.42"/>
    <n v="43"/>
    <n v="5.8032528525950573"/>
    <n v="0.10316851060047733"/>
    <n v="7.0736323138944596E-2"/>
  </r>
  <r>
    <s v="C005"/>
    <x v="1"/>
    <d v="2024-09-27T00:00:00"/>
    <d v="2024-05-04T00:00:00"/>
    <x v="3"/>
    <x v="1"/>
    <x v="2"/>
    <x v="0"/>
    <x v="4"/>
    <n v="1237169"/>
    <n v="33808"/>
    <n v="915"/>
    <n v="249871.9"/>
    <x v="2"/>
    <n v="7"/>
    <n v="2.7326905216668099E-2"/>
    <n v="2.70646000946522E-2"/>
    <n v="8.1444043715846988"/>
    <n v="33.530265843456839"/>
    <n v="242419.77"/>
    <d v="2024-10-27T00:00:00"/>
    <n v="13.99"/>
    <n v="30"/>
    <n v="7.3909104353999053"/>
    <n v="0.12278368734844937"/>
    <n v="2.9823801715999299E-2"/>
  </r>
  <r>
    <s v="C006"/>
    <x v="3"/>
    <d v="2024-02-23T00:00:00"/>
    <d v="2024-02-07T00:00:00"/>
    <x v="4"/>
    <x v="0"/>
    <x v="1"/>
    <x v="1"/>
    <x v="5"/>
    <n v="777067"/>
    <n v="6827"/>
    <n v="188"/>
    <n v="35153.94"/>
    <x v="2"/>
    <n v="5"/>
    <n v="8.7856002120795199E-3"/>
    <n v="2.75377178848689E-2"/>
    <n v="94.897872340425522"/>
    <n v="1.9704239720191923"/>
    <n v="17313.140000000003"/>
    <d v="2024-03-24T00:00:00"/>
    <n v="69.680000000000007"/>
    <n v="30"/>
    <n v="5.1492515013915341"/>
    <n v="1.0537644051836241E-2"/>
    <n v="0.50750499090571399"/>
  </r>
  <r>
    <s v="C007"/>
    <x v="2"/>
    <d v="2024-04-10T00:00:00"/>
    <d v="2024-08-01T00:00:00"/>
    <x v="1"/>
    <x v="3"/>
    <x v="1"/>
    <x v="2"/>
    <x v="6"/>
    <n v="728841"/>
    <n v="33762"/>
    <n v="1045"/>
    <n v="129656.99"/>
    <x v="1"/>
    <n v="9"/>
    <n v="4.6322860541599599E-2"/>
    <n v="3.0951957822403901E-2"/>
    <n v="92.340612440191393"/>
    <n v="1.3436522821581924"/>
    <n v="33161.050000000003"/>
    <d v="2024-08-01T00:00:00"/>
    <n v="24.31"/>
    <n v="113"/>
    <n v="3.8403231443634858"/>
    <n v="1.0829471167387975E-2"/>
    <n v="0.74424016784594504"/>
  </r>
  <r>
    <s v="C008"/>
    <x v="2"/>
    <d v="2024-09-20T00:00:00"/>
    <d v="2024-11-06T00:00:00"/>
    <x v="5"/>
    <x v="1"/>
    <x v="3"/>
    <x v="2"/>
    <x v="7"/>
    <n v="330618"/>
    <n v="9259"/>
    <n v="484"/>
    <n v="102428.83"/>
    <x v="0"/>
    <n v="9"/>
    <n v="2.80051297872469E-2"/>
    <n v="5.2273463656982398E-2"/>
    <n v="118.19278925619834"/>
    <n v="1.7905475907743531"/>
    <n v="45223.520000000004"/>
    <d v="2024-11-06T00:00:00"/>
    <n v="53.68"/>
    <n v="47"/>
    <n v="11.062623393455016"/>
    <n v="8.4607530314930561E-3"/>
    <n v="0.55848836699589399"/>
  </r>
  <r>
    <s v="C009"/>
    <x v="2"/>
    <d v="2024-02-22T00:00:00"/>
    <d v="2024-08-12T00:00:00"/>
    <x v="5"/>
    <x v="3"/>
    <x v="1"/>
    <x v="2"/>
    <x v="8"/>
    <n v="1276408"/>
    <n v="15849"/>
    <n v="558"/>
    <n v="217796.84"/>
    <x v="2"/>
    <n v="9"/>
    <n v="1.2416876108579699E-2"/>
    <n v="3.5207268597387799E-2"/>
    <n v="173.39267025089606"/>
    <n v="2.2510577696158811"/>
    <n v="121043.73"/>
    <d v="2024-08-12T00:00:00"/>
    <n v="34.840000000000003"/>
    <n v="172"/>
    <n v="13.741992554735313"/>
    <n v="5.7672564737195524E-3"/>
    <n v="0.444235600479787"/>
  </r>
  <r>
    <s v="C010"/>
    <x v="1"/>
    <d v="2024-02-29T00:00:00"/>
    <d v="2024-08-12T00:00:00"/>
    <x v="1"/>
    <x v="2"/>
    <x v="1"/>
    <x v="2"/>
    <x v="9"/>
    <n v="892150"/>
    <n v="17232"/>
    <n v="322"/>
    <n v="124232.26"/>
    <x v="2"/>
    <n v="4"/>
    <n v="1.93151375889705E-2"/>
    <n v="1.8686165273909001E-2"/>
    <n v="143.12826086956522"/>
    <n v="2.6955855517680574"/>
    <n v="78144.959999999992"/>
    <d v="2024-08-12T00:00:00"/>
    <n v="36.119999999999997"/>
    <n v="165"/>
    <n v="7.2093929897864433"/>
    <n v="6.9867403818405496E-3"/>
    <n v="0.37097691050617598"/>
  </r>
  <r>
    <s v="C011"/>
    <x v="0"/>
    <d v="2024-04-17T00:00:00"/>
    <d v="2024-07-03T00:00:00"/>
    <x v="3"/>
    <x v="1"/>
    <x v="3"/>
    <x v="2"/>
    <x v="10"/>
    <n v="1405349"/>
    <n v="41572"/>
    <n v="1172"/>
    <n v="36634.61"/>
    <x v="1"/>
    <n v="9"/>
    <n v="2.9581264155736399E-2"/>
    <n v="2.8192052342923098E-2"/>
    <n v="29.541407849829351"/>
    <n v="1.0581147593777809"/>
    <n v="2012.0800000000017"/>
    <d v="2024-07-03T00:00:00"/>
    <n v="26.06"/>
    <n v="77"/>
    <n v="0.88123280092369871"/>
    <n v="3.3850790222436082E-2"/>
    <n v="0.94507707329216795"/>
  </r>
  <r>
    <s v="C012"/>
    <x v="2"/>
    <d v="2024-01-05T00:00:00"/>
    <d v="2024-05-02T00:00:00"/>
    <x v="3"/>
    <x v="0"/>
    <x v="1"/>
    <x v="2"/>
    <x v="11"/>
    <n v="95232"/>
    <n v="25173"/>
    <n v="1837"/>
    <n v="162261.79"/>
    <x v="1"/>
    <n v="4"/>
    <n v="0.26433341733871002"/>
    <n v="7.2975012910658194E-2"/>
    <n v="28.896831790963528"/>
    <n v="3.0567285716761599"/>
    <n v="109178.31"/>
    <d v="2024-05-02T00:00:00"/>
    <n v="12.8"/>
    <n v="118"/>
    <n v="6.4458662058554808"/>
    <n v="3.4605869848774042E-2"/>
    <n v="0.32714713673502599"/>
  </r>
  <r>
    <s v="C013"/>
    <x v="1"/>
    <d v="2024-04-12T00:00:00"/>
    <d v="2024-07-08T00:00:00"/>
    <x v="0"/>
    <x v="2"/>
    <x v="1"/>
    <x v="2"/>
    <x v="12"/>
    <n v="398688"/>
    <n v="6374"/>
    <n v="1923"/>
    <n v="194987.35"/>
    <x v="2"/>
    <n v="9"/>
    <n v="1.5987438799261601E-2"/>
    <n v="0.301694383432695"/>
    <n v="24.312849713988559"/>
    <n v="4.1705303611849436"/>
    <n v="148233.74"/>
    <d v="2024-07-08T00:00:00"/>
    <n v="44.11"/>
    <n v="87"/>
    <n v="30.591049576404142"/>
    <n v="4.1130513772091606E-2"/>
    <n v="0.23977765737110601"/>
  </r>
  <r>
    <s v="C014"/>
    <x v="3"/>
    <d v="2024-07-14T00:00:00"/>
    <d v="2024-03-31T00:00:00"/>
    <x v="5"/>
    <x v="2"/>
    <x v="1"/>
    <x v="2"/>
    <x v="13"/>
    <n v="510385"/>
    <n v="22174"/>
    <n v="153"/>
    <n v="10691.5"/>
    <x v="0"/>
    <n v="6"/>
    <n v="4.3445634178120397E-2"/>
    <n v="6.8999729412825804E-3"/>
    <n v="98.288562091503266"/>
    <n v="0.71095846231085602"/>
    <n v="-4346.6499999999996"/>
    <d v="2024-08-13T00:00:00"/>
    <n v="17.309999999999999"/>
    <n v="30"/>
    <n v="0.48216379543609633"/>
    <n v="1.0174123811772059E-2"/>
    <n v="1.4065519337791701"/>
  </r>
  <r>
    <s v="C015"/>
    <x v="0"/>
    <d v="2024-09-18T00:00:00"/>
    <d v="2024-05-31T00:00:00"/>
    <x v="0"/>
    <x v="0"/>
    <x v="1"/>
    <x v="1"/>
    <x v="14"/>
    <n v="833301"/>
    <n v="24567"/>
    <n v="1287"/>
    <n v="216149.6"/>
    <x v="0"/>
    <n v="5"/>
    <n v="2.94815438839027E-2"/>
    <n v="5.2387348882647497E-2"/>
    <n v="51.187645687645684"/>
    <n v="3.2810340247576981"/>
    <n v="150271.1"/>
    <d v="2024-10-18T00:00:00"/>
    <n v="56.75"/>
    <n v="30"/>
    <n v="8.7983717995685264"/>
    <n v="1.9535963933605047E-2"/>
    <n v="0.30478196582367001"/>
  </r>
  <r>
    <s v="C016"/>
    <x v="3"/>
    <d v="2024-02-16T00:00:00"/>
    <d v="2024-03-21T00:00:00"/>
    <x v="5"/>
    <x v="1"/>
    <x v="3"/>
    <x v="2"/>
    <x v="15"/>
    <n v="362813"/>
    <n v="36292"/>
    <n v="1834"/>
    <n v="54645.52"/>
    <x v="2"/>
    <n v="6"/>
    <n v="0.100029491776756"/>
    <n v="5.0534553069547003E-2"/>
    <n v="13.916919302071975"/>
    <n v="2.1409775960551065"/>
    <n v="29121.889999999996"/>
    <d v="2024-03-21T00:00:00"/>
    <n v="34.590000000000003"/>
    <n v="34"/>
    <n v="1.5057180645872368"/>
    <n v="7.1854983009861845E-2"/>
    <n v="0.46707634953423399"/>
  </r>
  <r>
    <s v="C017"/>
    <x v="0"/>
    <d v="2024-05-23T00:00:00"/>
    <d v="2024-11-02T00:00:00"/>
    <x v="4"/>
    <x v="1"/>
    <x v="1"/>
    <x v="1"/>
    <x v="16"/>
    <n v="1307669"/>
    <n v="10277"/>
    <n v="1737"/>
    <n v="142496.65"/>
    <x v="1"/>
    <n v="9"/>
    <n v="7.8590224284585796E-3"/>
    <n v="0.16901819597158699"/>
    <n v="36.765031663788143"/>
    <n v="2.2313612751221954"/>
    <n v="78635.789999999994"/>
    <d v="2024-11-02T00:00:00"/>
    <n v="50.65"/>
    <n v="163"/>
    <n v="13.865588206675099"/>
    <n v="2.7199758975998758E-2"/>
    <n v="0.44815692158377102"/>
  </r>
  <r>
    <s v="C018"/>
    <x v="1"/>
    <d v="2024-09-25T00:00:00"/>
    <d v="2024-02-04T00:00:00"/>
    <x v="4"/>
    <x v="2"/>
    <x v="1"/>
    <x v="0"/>
    <x v="17"/>
    <n v="1076657"/>
    <n v="32600"/>
    <n v="811"/>
    <n v="109791.4"/>
    <x v="2"/>
    <n v="5"/>
    <n v="3.0278909624885199E-2"/>
    <n v="2.4877300613496901E-2"/>
    <n v="82.329346485819983"/>
    <n v="1.6443444647299421"/>
    <n v="43022.299999999988"/>
    <d v="2024-10-25T00:00:00"/>
    <n v="76.599999999999994"/>
    <n v="30"/>
    <n v="3.3678343558282209"/>
    <n v="1.2146337152964469E-2"/>
    <n v="0.60814508240171805"/>
  </r>
  <r>
    <s v="C019"/>
    <x v="4"/>
    <d v="2024-05-03T00:00:00"/>
    <d v="2024-05-01T00:00:00"/>
    <x v="2"/>
    <x v="1"/>
    <x v="3"/>
    <x v="2"/>
    <x v="18"/>
    <n v="1429904"/>
    <n v="10885"/>
    <n v="836"/>
    <n v="182716.92"/>
    <x v="2"/>
    <n v="5"/>
    <n v="7.6123991540690801E-3"/>
    <n v="7.6802939825447905E-2"/>
    <n v="23.25641148325359"/>
    <n v="9.3978776239098547"/>
    <n v="163274.56"/>
    <d v="2024-06-02T00:00:00"/>
    <n v="38.17"/>
    <n v="30"/>
    <n v="16.786120349104273"/>
    <n v="4.2998895195850706E-2"/>
    <n v="0.106407003795817"/>
  </r>
  <r>
    <s v="C020"/>
    <x v="0"/>
    <d v="2024-04-15T00:00:00"/>
    <d v="2024-07-18T00:00:00"/>
    <x v="0"/>
    <x v="3"/>
    <x v="2"/>
    <x v="0"/>
    <x v="19"/>
    <n v="1801881"/>
    <n v="1778"/>
    <n v="214"/>
    <n v="99078.79"/>
    <x v="1"/>
    <n v="7"/>
    <n v="9.86746627551986E-4"/>
    <n v="0.12035995500562401"/>
    <n v="50.599112149532708"/>
    <n v="9.1500617368891071"/>
    <n v="88250.579999999987"/>
    <d v="2024-07-18T00:00:00"/>
    <n v="37.11"/>
    <n v="94"/>
    <n v="55.724853768278962"/>
    <n v="1.9763192623711585E-2"/>
    <n v="0.10928888009229799"/>
  </r>
  <r>
    <s v="C021"/>
    <x v="3"/>
    <d v="2024-06-06T00:00:00"/>
    <d v="2024-02-21T00:00:00"/>
    <x v="1"/>
    <x v="0"/>
    <x v="0"/>
    <x v="0"/>
    <x v="20"/>
    <n v="1111716"/>
    <n v="30165"/>
    <n v="1048"/>
    <n v="218743.16"/>
    <x v="2"/>
    <n v="6"/>
    <n v="2.7133728398260001E-2"/>
    <n v="3.4742250953091303E-2"/>
    <n v="75.546135496183211"/>
    <n v="2.7628731495275813"/>
    <n v="139570.81"/>
    <d v="2024-07-06T00:00:00"/>
    <n v="22.14"/>
    <n v="30"/>
    <n v="7.2515551135421852"/>
    <n v="1.3236944463565877E-2"/>
    <n v="0.361942060268307"/>
  </r>
  <r>
    <s v="C022"/>
    <x v="1"/>
    <d v="2024-05-26T00:00:00"/>
    <d v="2024-01-31T00:00:00"/>
    <x v="0"/>
    <x v="3"/>
    <x v="2"/>
    <x v="0"/>
    <x v="21"/>
    <n v="1487188"/>
    <n v="2492"/>
    <n v="1926"/>
    <n v="185319.13"/>
    <x v="2"/>
    <n v="7"/>
    <n v="1.6756455807873699E-3"/>
    <n v="0.77287319422150902"/>
    <n v="25.275721703011424"/>
    <n v="3.8068030181770971"/>
    <n v="136638.09"/>
    <d v="2024-06-25T00:00:00"/>
    <n v="78.12"/>
    <n v="30"/>
    <n v="74.365621990369178"/>
    <n v="3.9563657637552527E-2"/>
    <n v="0.26268761352376302"/>
  </r>
  <r>
    <s v="C023"/>
    <x v="0"/>
    <d v="2024-05-24T00:00:00"/>
    <d v="2024-06-11T00:00:00"/>
    <x v="1"/>
    <x v="1"/>
    <x v="3"/>
    <x v="1"/>
    <x v="22"/>
    <n v="1706321"/>
    <n v="31462"/>
    <n v="569"/>
    <n v="165451.16"/>
    <x v="2"/>
    <n v="5"/>
    <n v="1.8438500141532602E-2"/>
    <n v="1.80853092619668E-2"/>
    <n v="18.498347978910367"/>
    <n v="15.71898882339752"/>
    <n v="154925.6"/>
    <d v="2024-06-11T00:00:00"/>
    <n v="70.19"/>
    <n v="18"/>
    <n v="5.2587616807577398"/>
    <n v="5.4058881427686507E-2"/>
    <n v="6.3617323686337393E-2"/>
  </r>
  <r>
    <s v="C024"/>
    <x v="4"/>
    <d v="2024-04-29T00:00:00"/>
    <d v="2024-09-19T00:00:00"/>
    <x v="3"/>
    <x v="2"/>
    <x v="0"/>
    <x v="0"/>
    <x v="23"/>
    <n v="588645"/>
    <n v="14615"/>
    <n v="1357"/>
    <n v="201097.74"/>
    <x v="1"/>
    <n v="4"/>
    <n v="2.4828207153717401E-2"/>
    <n v="9.2849811837153601E-2"/>
    <n v="73.332571849668383"/>
    <n v="2.0208330025534531"/>
    <n v="101585.43999999999"/>
    <d v="2024-09-19T00:00:00"/>
    <n v="23.75"/>
    <n v="143"/>
    <n v="13.759681149503933"/>
    <n v="1.3636505236036147E-2"/>
    <n v="0.49484544182346402"/>
  </r>
  <r>
    <s v="C025"/>
    <x v="4"/>
    <d v="2024-10-01T00:00:00"/>
    <d v="2024-02-11T00:00:00"/>
    <x v="0"/>
    <x v="0"/>
    <x v="3"/>
    <x v="0"/>
    <x v="24"/>
    <n v="1621951"/>
    <n v="45900"/>
    <n v="566"/>
    <n v="190965.53"/>
    <x v="0"/>
    <n v="5"/>
    <n v="2.82992519502747E-2"/>
    <n v="1.23311546840959E-2"/>
    <n v="18.532067137809186"/>
    <n v="18.206006206413296"/>
    <n v="180476.38"/>
    <d v="2024-10-31T00:00:00"/>
    <n v="45.03"/>
    <n v="30"/>
    <n v="4.1604690631808277"/>
    <n v="5.3960521109908816E-2"/>
    <n v="5.4926928435723402E-2"/>
  </r>
  <r>
    <s v="C026"/>
    <x v="2"/>
    <d v="2024-04-01T00:00:00"/>
    <d v="2024-03-16T00:00:00"/>
    <x v="3"/>
    <x v="1"/>
    <x v="3"/>
    <x v="0"/>
    <x v="25"/>
    <n v="1210248"/>
    <n v="43946"/>
    <n v="706"/>
    <n v="18625.28"/>
    <x v="0"/>
    <n v="7"/>
    <n v="3.6311565893932501E-2"/>
    <n v="1.60651708915487E-2"/>
    <n v="100.60672804532578"/>
    <n v="0.26222318271507078"/>
    <n v="-52403.070000000007"/>
    <d v="2024-05-01T00:00:00"/>
    <n v="49.96"/>
    <n v="30"/>
    <n v="0.42382196331861827"/>
    <n v="9.9396930943771028E-3"/>
    <n v="3.81354535341214"/>
  </r>
  <r>
    <s v="C027"/>
    <x v="2"/>
    <d v="2024-02-27T00:00:00"/>
    <d v="2024-03-04T00:00:00"/>
    <x v="4"/>
    <x v="1"/>
    <x v="1"/>
    <x v="2"/>
    <x v="26"/>
    <n v="380817"/>
    <n v="8851"/>
    <n v="662"/>
    <n v="104736.24"/>
    <x v="1"/>
    <n v="6"/>
    <n v="2.32421346736096E-2"/>
    <n v="7.4793808609196696E-2"/>
    <n v="148.71525679758309"/>
    <n v="1.0638575107034571"/>
    <n v="6286.7400000000052"/>
    <d v="2024-03-04T00:00:00"/>
    <n v="62.55"/>
    <n v="6"/>
    <n v="11.833266297593493"/>
    <n v="6.7242596458082574E-3"/>
    <n v="0.93997550418078801"/>
  </r>
  <r>
    <s v="C028"/>
    <x v="3"/>
    <d v="2024-08-16T00:00:00"/>
    <d v="2024-04-17T00:00:00"/>
    <x v="4"/>
    <x v="2"/>
    <x v="0"/>
    <x v="2"/>
    <x v="27"/>
    <n v="1744537"/>
    <n v="17288"/>
    <n v="213"/>
    <n v="233393.75"/>
    <x v="0"/>
    <n v="9"/>
    <n v="9.9097926842480304E-3"/>
    <n v="1.23206848681166E-2"/>
    <n v="130.15075117370893"/>
    <n v="8.4190471071646424"/>
    <n v="205671.64"/>
    <d v="2024-09-15T00:00:00"/>
    <n v="50.55"/>
    <n v="30"/>
    <n v="13.500332600647848"/>
    <n v="7.6833978366004606E-3"/>
    <n v="0.118778287764775"/>
  </r>
  <r>
    <s v="C029"/>
    <x v="0"/>
    <d v="2024-04-26T00:00:00"/>
    <d v="2024-09-04T00:00:00"/>
    <x v="2"/>
    <x v="2"/>
    <x v="1"/>
    <x v="1"/>
    <x v="28"/>
    <n v="1688497"/>
    <n v="8156"/>
    <n v="1959"/>
    <n v="40173.82"/>
    <x v="2"/>
    <n v="9"/>
    <n v="4.8303313538608601E-3"/>
    <n v="0.24019127023050499"/>
    <n v="9.450581929555895"/>
    <n v="2.1699520733035933"/>
    <n v="21660.13"/>
    <d v="2024-09-04T00:00:00"/>
    <n v="21.25"/>
    <n v="131"/>
    <n v="4.9256768023540953"/>
    <n v="0.1058135898354137"/>
    <n v="0.46083967120876201"/>
  </r>
  <r>
    <s v="C030"/>
    <x v="0"/>
    <d v="2024-10-05T00:00:00"/>
    <d v="2024-04-12T00:00:00"/>
    <x v="0"/>
    <x v="3"/>
    <x v="0"/>
    <x v="1"/>
    <x v="29"/>
    <n v="782303"/>
    <n v="3044"/>
    <n v="1732"/>
    <n v="186903.17"/>
    <x v="0"/>
    <n v="6"/>
    <n v="3.8910754528616201E-3"/>
    <n v="0.56898817345597896"/>
    <n v="9.5447863741339489"/>
    <n v="11.305833021304087"/>
    <n v="170371.6"/>
    <d v="2024-11-04T00:00:00"/>
    <n v="66.099999999999994"/>
    <n v="30"/>
    <n v="61.400515768725363"/>
    <n v="0.10476923849337964"/>
    <n v="8.8449917676623593E-2"/>
  </r>
  <r>
    <s v="C031"/>
    <x v="2"/>
    <d v="2024-05-06T00:00:00"/>
    <d v="2024-11-07T00:00:00"/>
    <x v="3"/>
    <x v="0"/>
    <x v="3"/>
    <x v="2"/>
    <x v="30"/>
    <n v="670399"/>
    <n v="8368"/>
    <n v="113"/>
    <n v="243902.03"/>
    <x v="2"/>
    <n v="9"/>
    <n v="1.24821188575759E-2"/>
    <n v="1.3503824091778201E-2"/>
    <n v="299.21362831858409"/>
    <n v="7.2136588710111518"/>
    <n v="210090.89"/>
    <d v="2024-11-07T00:00:00"/>
    <n v="29.39"/>
    <n v="185"/>
    <n v="29.146992112810707"/>
    <n v="3.3420937596307016E-3"/>
    <n v="0.13862590647564499"/>
  </r>
  <r>
    <s v="C032"/>
    <x v="0"/>
    <d v="2024-05-08T00:00:00"/>
    <d v="2024-10-05T00:00:00"/>
    <x v="1"/>
    <x v="0"/>
    <x v="3"/>
    <x v="1"/>
    <x v="31"/>
    <n v="914690"/>
    <n v="20900"/>
    <n v="1164"/>
    <n v="22527.67"/>
    <x v="0"/>
    <n v="9"/>
    <n v="2.2849271337830299E-2"/>
    <n v="5.5693779904306198E-2"/>
    <n v="12.542396907216496"/>
    <n v="1.5430597937579411"/>
    <n v="7928.3199999999979"/>
    <d v="2024-10-05T00:00:00"/>
    <n v="72.89"/>
    <n v="150"/>
    <n v="1.0778789473684209"/>
    <n v="7.9729577001715832E-2"/>
    <n v="0.648063026491422"/>
  </r>
  <r>
    <s v="C033"/>
    <x v="0"/>
    <d v="2024-02-27T00:00:00"/>
    <d v="2024-03-17T00:00:00"/>
    <x v="4"/>
    <x v="2"/>
    <x v="2"/>
    <x v="2"/>
    <x v="32"/>
    <n v="456140"/>
    <n v="31600"/>
    <n v="1190"/>
    <n v="173726.53"/>
    <x v="1"/>
    <n v="7"/>
    <n v="6.9276976366904899E-2"/>
    <n v="3.76582278481013E-2"/>
    <n v="59.458260504201682"/>
    <n v="2.4553136844955707"/>
    <n v="102971.2"/>
    <d v="2024-03-17T00:00:00"/>
    <n v="44.19"/>
    <n v="19"/>
    <n v="5.4976750000000001"/>
    <n v="1.6818520951001146E-2"/>
    <n v="0.40727993588543998"/>
  </r>
  <r>
    <s v="C034"/>
    <x v="4"/>
    <d v="2024-05-01T00:00:00"/>
    <d v="2024-05-30T00:00:00"/>
    <x v="4"/>
    <x v="3"/>
    <x v="0"/>
    <x v="0"/>
    <x v="33"/>
    <n v="1167862"/>
    <n v="47403"/>
    <n v="1939"/>
    <n v="122356.99"/>
    <x v="0"/>
    <n v="6"/>
    <n v="4.0589555957810101E-2"/>
    <n v="4.09045840980529E-2"/>
    <n v="5.6305930892212475"/>
    <n v="11.207192527377511"/>
    <n v="111439.27"/>
    <d v="2024-05-30T00:00:00"/>
    <n v="42.17"/>
    <n v="29"/>
    <n v="2.5812077294685993"/>
    <n v="0.17760118413001982"/>
    <n v="8.9228412696324103E-2"/>
  </r>
  <r>
    <s v="C035"/>
    <x v="2"/>
    <d v="2024-01-01T00:00:00"/>
    <d v="2024-08-31T00:00:00"/>
    <x v="1"/>
    <x v="0"/>
    <x v="1"/>
    <x v="0"/>
    <x v="34"/>
    <n v="143269"/>
    <n v="26634"/>
    <n v="316"/>
    <n v="149002.06"/>
    <x v="0"/>
    <n v="8"/>
    <n v="0.18590204440597799"/>
    <n v="1.18645340542164E-2"/>
    <n v="168.97183544303797"/>
    <n v="2.7905568113928059"/>
    <n v="95606.959999999992"/>
    <d v="2024-08-31T00:00:00"/>
    <n v="24.53"/>
    <n v="243"/>
    <n v="5.5944304272734096"/>
    <n v="5.9181460471091915E-3"/>
    <n v="0.35835142145014598"/>
  </r>
  <r>
    <s v="C036"/>
    <x v="1"/>
    <d v="2024-08-26T00:00:00"/>
    <d v="2024-09-25T00:00:00"/>
    <x v="3"/>
    <x v="2"/>
    <x v="2"/>
    <x v="1"/>
    <x v="35"/>
    <n v="308635"/>
    <n v="10168"/>
    <n v="1895"/>
    <n v="30481.919999999998"/>
    <x v="0"/>
    <n v="4"/>
    <n v="3.2945064558458997E-2"/>
    <n v="0.18636900078678201"/>
    <n v="52.60485488126649"/>
    <n v="0.30577873366624464"/>
    <n v="-69204.28"/>
    <d v="2024-09-25T00:00:00"/>
    <n v="56.45"/>
    <n v="30"/>
    <n v="2.9978284815106213"/>
    <n v="1.9009652288882514E-2"/>
    <n v="3.2703386138405999"/>
  </r>
  <r>
    <s v="C037"/>
    <x v="2"/>
    <d v="2024-10-16T00:00:00"/>
    <d v="2024-03-26T00:00:00"/>
    <x v="3"/>
    <x v="1"/>
    <x v="2"/>
    <x v="2"/>
    <x v="36"/>
    <n v="1172647"/>
    <n v="21961"/>
    <n v="1758"/>
    <n v="20321.669999999998"/>
    <x v="1"/>
    <n v="4"/>
    <n v="1.8727716013429398E-2"/>
    <n v="8.0050999499112097E-2"/>
    <n v="46.830022753128553"/>
    <n v="0.24684035090233869"/>
    <n v="-62005.509999999995"/>
    <d v="2024-11-15T00:00:00"/>
    <n v="73.739999999999995"/>
    <n v="30"/>
    <n v="0.9253526706434132"/>
    <n v="2.1353822637918608E-2"/>
    <n v="4.05120150066407"/>
  </r>
  <r>
    <s v="C038"/>
    <x v="1"/>
    <d v="2024-04-05T00:00:00"/>
    <d v="2024-05-16T00:00:00"/>
    <x v="0"/>
    <x v="0"/>
    <x v="2"/>
    <x v="2"/>
    <x v="37"/>
    <n v="1549118"/>
    <n v="45096"/>
    <n v="1632"/>
    <n v="170048"/>
    <x v="0"/>
    <n v="9"/>
    <n v="2.9110758509035502E-2"/>
    <n v="3.6189462480042602E-2"/>
    <n v="38.876133578431372"/>
    <n v="2.6802068220380058"/>
    <n v="106602.15"/>
    <d v="2024-05-16T00:00:00"/>
    <n v="26.59"/>
    <n v="41"/>
    <n v="3.7708000709597305"/>
    <n v="2.5722722605182213E-2"/>
    <n v="0.37310553490779103"/>
  </r>
  <r>
    <s v="C039"/>
    <x v="4"/>
    <d v="2024-05-05T00:00:00"/>
    <d v="2024-03-18T00:00:00"/>
    <x v="0"/>
    <x v="3"/>
    <x v="1"/>
    <x v="1"/>
    <x v="38"/>
    <n v="1319671"/>
    <n v="47087"/>
    <n v="1213"/>
    <n v="207594.26"/>
    <x v="1"/>
    <n v="4"/>
    <n v="3.5680862881733402E-2"/>
    <n v="2.5760825705608802E-2"/>
    <n v="28.107246496290188"/>
    <n v="6.0888634951101501"/>
    <n v="173500.17"/>
    <d v="2024-06-04T00:00:00"/>
    <n v="68.81"/>
    <n v="30"/>
    <n v="4.4087382929470982"/>
    <n v="3.5578013667471403E-2"/>
    <n v="0.16423426158314799"/>
  </r>
  <r>
    <s v="C040"/>
    <x v="3"/>
    <d v="2024-04-27T00:00:00"/>
    <d v="2024-03-31T00:00:00"/>
    <x v="5"/>
    <x v="3"/>
    <x v="2"/>
    <x v="2"/>
    <x v="39"/>
    <n v="563317"/>
    <n v="24852"/>
    <n v="295"/>
    <n v="197683.68"/>
    <x v="2"/>
    <n v="6"/>
    <n v="4.4117255470720797E-2"/>
    <n v="1.1870272010301001E-2"/>
    <n v="217.86474576271186"/>
    <n v="3.0758265507599956"/>
    <n v="133413.57999999999"/>
    <d v="2024-05-27T00:00:00"/>
    <n v="60.72"/>
    <n v="30"/>
    <n v="7.9544374698213423"/>
    <n v="4.5900037497996734E-3"/>
    <n v="0.32511586186578501"/>
  </r>
  <r>
    <s v="C041"/>
    <x v="0"/>
    <d v="2024-02-17T00:00:00"/>
    <d v="2024-02-25T00:00:00"/>
    <x v="5"/>
    <x v="3"/>
    <x v="1"/>
    <x v="0"/>
    <x v="40"/>
    <n v="1129227"/>
    <n v="34110"/>
    <n v="1734"/>
    <n v="140513.37"/>
    <x v="0"/>
    <n v="6"/>
    <n v="3.02065040952793E-2"/>
    <n v="5.08355321020229E-2"/>
    <n v="31.758327566320649"/>
    <n v="2.5515902430662365"/>
    <n v="85444.43"/>
    <d v="2024-02-25T00:00:00"/>
    <n v="32.840000000000003"/>
    <n v="8"/>
    <n v="4.1194186455584871"/>
    <n v="3.1487804195976896E-2"/>
    <n v="0.39191245644453598"/>
  </r>
  <r>
    <s v="C042"/>
    <x v="4"/>
    <d v="2024-03-29T00:00:00"/>
    <d v="2024-11-17T00:00:00"/>
    <x v="2"/>
    <x v="1"/>
    <x v="2"/>
    <x v="1"/>
    <x v="41"/>
    <n v="120202"/>
    <n v="33174"/>
    <n v="1831"/>
    <n v="33968.04"/>
    <x v="1"/>
    <n v="5"/>
    <n v="0.27598542453536501"/>
    <n v="5.5193826490625202E-2"/>
    <n v="24.837749863462587"/>
    <n v="0.74691278756812107"/>
    <n v="-11509.879999999997"/>
    <d v="2024-11-17T00:00:00"/>
    <n v="66.069999999999993"/>
    <n v="233"/>
    <n v="1.0239356122264425"/>
    <n v="4.0261296031128956E-2"/>
    <n v="1.3388443960852601"/>
  </r>
  <r>
    <s v="C043"/>
    <x v="0"/>
    <d v="2024-08-24T00:00:00"/>
    <d v="2024-10-13T00:00:00"/>
    <x v="4"/>
    <x v="0"/>
    <x v="1"/>
    <x v="1"/>
    <x v="42"/>
    <n v="1147353"/>
    <n v="35215"/>
    <n v="444"/>
    <n v="175130.67"/>
    <x v="1"/>
    <n v="5"/>
    <n v="3.0692384993981799E-2"/>
    <n v="1.2608263524066399E-2"/>
    <n v="39.228581081081082"/>
    <n v="10.054874152360645"/>
    <n v="157713.18000000002"/>
    <d v="2024-10-13T00:00:00"/>
    <n v="75.319999999999993"/>
    <n v="50"/>
    <n v="4.9731838705097262"/>
    <n v="2.549161790820606E-2"/>
    <n v="9.94542532156132E-2"/>
  </r>
  <r>
    <s v="C044"/>
    <x v="3"/>
    <d v="2024-09-28T00:00:00"/>
    <d v="2024-02-07T00:00:00"/>
    <x v="0"/>
    <x v="0"/>
    <x v="3"/>
    <x v="2"/>
    <x v="43"/>
    <n v="198066"/>
    <n v="27955"/>
    <n v="1560"/>
    <n v="68053.33"/>
    <x v="0"/>
    <n v="4"/>
    <n v="0.14113982207950901"/>
    <n v="5.5803970667143599E-2"/>
    <n v="57.197051282051277"/>
    <n v="0.76269542763769882"/>
    <n v="-21174.069999999992"/>
    <d v="2024-10-28T00:00:00"/>
    <n v="40.1"/>
    <n v="30"/>
    <n v="2.434388481488106"/>
    <n v="1.7483418770467368E-2"/>
    <n v="1.3111393667290001"/>
  </r>
  <r>
    <s v="C045"/>
    <x v="3"/>
    <d v="2024-07-07T00:00:00"/>
    <d v="2024-05-22T00:00:00"/>
    <x v="3"/>
    <x v="1"/>
    <x v="3"/>
    <x v="1"/>
    <x v="44"/>
    <n v="903695"/>
    <n v="7581"/>
    <n v="525"/>
    <n v="228656.49"/>
    <x v="2"/>
    <n v="8"/>
    <n v="8.3888922700690004E-3"/>
    <n v="6.9252077562326902E-2"/>
    <n v="90.91340952380952"/>
    <n v="4.7906703060620321"/>
    <n v="180926.94999999998"/>
    <d v="2024-08-06T00:00:00"/>
    <n v="56.32"/>
    <n v="30"/>
    <n v="30.161784724970321"/>
    <n v="1.0999477472441595E-2"/>
    <n v="0.208739056564719"/>
  </r>
  <r>
    <s v="C046"/>
    <x v="4"/>
    <d v="2024-07-10T00:00:00"/>
    <d v="2024-10-09T00:00:00"/>
    <x v="1"/>
    <x v="0"/>
    <x v="3"/>
    <x v="2"/>
    <x v="45"/>
    <n v="240706"/>
    <n v="45619"/>
    <n v="1590"/>
    <n v="211183.69"/>
    <x v="1"/>
    <n v="5"/>
    <n v="0.18952165712529001"/>
    <n v="3.4853898594883699E-2"/>
    <n v="14.773044025157231"/>
    <n v="8.9906948487684097"/>
    <n v="187694.55"/>
    <d v="2024-10-09T00:00:00"/>
    <n v="17.23"/>
    <n v="91"/>
    <n v="4.6292924000964515"/>
    <n v="6.7690856285074721E-2"/>
    <n v="0.11122610841774799"/>
  </r>
  <r>
    <s v="C047"/>
    <x v="3"/>
    <d v="2024-03-09T00:00:00"/>
    <d v="2024-07-28T00:00:00"/>
    <x v="3"/>
    <x v="1"/>
    <x v="3"/>
    <x v="2"/>
    <x v="46"/>
    <n v="674446"/>
    <n v="7317"/>
    <n v="1026"/>
    <n v="180251.91"/>
    <x v="0"/>
    <n v="5"/>
    <n v="1.08489041376181E-2"/>
    <n v="0.14022140221402199"/>
    <n v="38.925087719298247"/>
    <n v="4.5133905432386996"/>
    <n v="140314.77000000002"/>
    <d v="2024-07-28T00:00:00"/>
    <n v="76.3"/>
    <n v="141"/>
    <n v="24.634674046740468"/>
    <n v="2.5690372420258435E-2"/>
    <n v="0.22156292268969599"/>
  </r>
  <r>
    <s v="C048"/>
    <x v="1"/>
    <d v="2024-10-04T00:00:00"/>
    <d v="2024-08-24T00:00:00"/>
    <x v="4"/>
    <x v="1"/>
    <x v="3"/>
    <x v="2"/>
    <x v="47"/>
    <n v="847232"/>
    <n v="43856"/>
    <n v="1257"/>
    <n v="237723.03"/>
    <x v="2"/>
    <n v="6"/>
    <n v="5.1763861610515202E-2"/>
    <n v="2.8661984677125101E-2"/>
    <n v="35.276316626889418"/>
    <n v="5.3610856714114927"/>
    <n v="193380.7"/>
    <d v="2024-11-03T00:00:00"/>
    <n v="25.31"/>
    <n v="30"/>
    <n v="5.4205360726012408"/>
    <n v="2.8347630807853352E-2"/>
    <n v="0.18652938253395099"/>
  </r>
  <r>
    <s v="C049"/>
    <x v="3"/>
    <d v="2024-09-03T00:00:00"/>
    <d v="2024-06-05T00:00:00"/>
    <x v="5"/>
    <x v="1"/>
    <x v="2"/>
    <x v="2"/>
    <x v="48"/>
    <n v="874255"/>
    <n v="46714"/>
    <n v="1093"/>
    <n v="17541.240000000002"/>
    <x v="1"/>
    <n v="8"/>
    <n v="5.3432922888630899E-2"/>
    <n v="2.3397696621997699E-2"/>
    <n v="76.501463860933214"/>
    <n v="0.20978304417450708"/>
    <n v="-66074.86"/>
    <d v="2024-10-03T00:00:00"/>
    <n v="19.600000000000001"/>
    <n v="30"/>
    <n v="0.37550284711221477"/>
    <n v="1.3071645293191143E-2"/>
    <n v="4.7668294829783999"/>
  </r>
  <r>
    <s v="C050"/>
    <x v="0"/>
    <d v="2024-03-16T00:00:00"/>
    <d v="2024-03-26T00:00:00"/>
    <x v="3"/>
    <x v="3"/>
    <x v="2"/>
    <x v="2"/>
    <x v="49"/>
    <n v="1862511"/>
    <n v="27649"/>
    <n v="607"/>
    <n v="186688.1"/>
    <x v="1"/>
    <n v="9"/>
    <n v="1.48450129958964E-2"/>
    <n v="2.19537777134797E-2"/>
    <n v="123.05332784184513"/>
    <n v="2.4993931857673584"/>
    <n v="111994.73000000001"/>
    <d v="2024-03-26T00:00:00"/>
    <n v="30"/>
    <n v="10"/>
    <n v="6.7520742160656804"/>
    <n v="8.126557952867838E-3"/>
    <n v="0.40009711384924901"/>
  </r>
  <r>
    <s v="C051"/>
    <x v="0"/>
    <d v="2024-06-02T00:00:00"/>
    <d v="2024-08-31T00:00:00"/>
    <x v="2"/>
    <x v="0"/>
    <x v="2"/>
    <x v="1"/>
    <x v="50"/>
    <n v="1424598"/>
    <n v="24132"/>
    <n v="1067"/>
    <n v="89258.27"/>
    <x v="2"/>
    <n v="4"/>
    <n v="1.6939515568602501E-2"/>
    <n v="4.4215150008287803E-2"/>
    <n v="73.18084348641051"/>
    <n v="1.1431063434795059"/>
    <n v="11174.309999999998"/>
    <d v="2024-08-31T00:00:00"/>
    <n v="30.06"/>
    <n v="90"/>
    <n v="3.6987514503563736"/>
    <n v="1.3664778272003622E-2"/>
    <n v="0.87480924736721899"/>
  </r>
  <r>
    <s v="C052"/>
    <x v="0"/>
    <d v="2024-05-23T00:00:00"/>
    <d v="2024-02-13T00:00:00"/>
    <x v="4"/>
    <x v="1"/>
    <x v="1"/>
    <x v="0"/>
    <x v="51"/>
    <n v="330852"/>
    <n v="17789"/>
    <n v="1597"/>
    <n v="227455.81"/>
    <x v="2"/>
    <n v="5"/>
    <n v="5.3767243359568603E-2"/>
    <n v="8.9774579796503398E-2"/>
    <n v="3.7870820288040075"/>
    <n v="37.608620743819827"/>
    <n v="221407.84"/>
    <d v="2024-06-22T00:00:00"/>
    <n v="69.16"/>
    <n v="30"/>
    <n v="12.786317949294508"/>
    <n v="0.26405554260355124"/>
    <n v="2.65896483365274E-2"/>
  </r>
  <r>
    <s v="C053"/>
    <x v="0"/>
    <d v="2024-03-26T00:00:00"/>
    <d v="2024-02-27T00:00:00"/>
    <x v="5"/>
    <x v="0"/>
    <x v="1"/>
    <x v="0"/>
    <x v="52"/>
    <n v="718179"/>
    <n v="15567"/>
    <n v="1655"/>
    <n v="74002.05"/>
    <x v="0"/>
    <n v="8"/>
    <n v="2.16756546766196E-2"/>
    <n v="0.10631463994347"/>
    <n v="26.909141993957704"/>
    <n v="1.661674297058267"/>
    <n v="29467.420000000006"/>
    <d v="2024-04-25T00:00:00"/>
    <n v="62.58"/>
    <n v="30"/>
    <n v="4.7537772210445173"/>
    <n v="3.7162091612751698E-2"/>
    <n v="0.60180265276434897"/>
  </r>
  <r>
    <s v="C054"/>
    <x v="1"/>
    <d v="2024-07-03T00:00:00"/>
    <d v="2024-04-17T00:00:00"/>
    <x v="1"/>
    <x v="3"/>
    <x v="1"/>
    <x v="1"/>
    <x v="53"/>
    <n v="1828841"/>
    <n v="15868"/>
    <n v="1602"/>
    <n v="183965.56"/>
    <x v="0"/>
    <n v="8"/>
    <n v="8.6765333891792706E-3"/>
    <n v="0.10095790269725199"/>
    <n v="31.665224719101126"/>
    <n v="3.6265313874927085"/>
    <n v="133237.87"/>
    <d v="2024-08-02T00:00:00"/>
    <n v="33.950000000000003"/>
    <n v="30"/>
    <n v="11.5934938240484"/>
    <n v="3.1580385387152458E-2"/>
    <n v="0.27574557977047398"/>
  </r>
  <r>
    <s v="C055"/>
    <x v="2"/>
    <d v="2024-10-11T00:00:00"/>
    <d v="2024-09-02T00:00:00"/>
    <x v="5"/>
    <x v="1"/>
    <x v="1"/>
    <x v="1"/>
    <x v="54"/>
    <n v="638158"/>
    <n v="25370"/>
    <n v="932"/>
    <n v="220635.28"/>
    <x v="1"/>
    <n v="4"/>
    <n v="3.9755044988858602E-2"/>
    <n v="3.6736302719747697E-2"/>
    <n v="7.321105150214593"/>
    <n v="32.335710004147572"/>
    <n v="213812.01"/>
    <d v="2024-11-10T00:00:00"/>
    <n v="68.62"/>
    <n v="30"/>
    <n v="8.6967000394166334"/>
    <n v="0.13659139972476539"/>
    <n v="3.0925561859372602E-2"/>
  </r>
  <r>
    <s v="C056"/>
    <x v="4"/>
    <d v="2024-08-07T00:00:00"/>
    <d v="2024-07-02T00:00:00"/>
    <x v="2"/>
    <x v="2"/>
    <x v="3"/>
    <x v="0"/>
    <x v="55"/>
    <n v="583571"/>
    <n v="43533"/>
    <n v="196"/>
    <n v="19997.64"/>
    <x v="2"/>
    <n v="8"/>
    <n v="7.4597606803627994E-2"/>
    <n v="4.5023315645602198E-3"/>
    <n v="151.44005102040816"/>
    <n v="0.67372385853498296"/>
    <n v="-9684.61"/>
    <d v="2024-09-06T00:00:00"/>
    <n v="37.97"/>
    <n v="30"/>
    <n v="0.45936737647302045"/>
    <n v="6.6032729998568166E-3"/>
    <n v="1.4842876459422201"/>
  </r>
  <r>
    <s v="C057"/>
    <x v="0"/>
    <d v="2024-03-09T00:00:00"/>
    <d v="2024-02-13T00:00:00"/>
    <x v="4"/>
    <x v="3"/>
    <x v="3"/>
    <x v="0"/>
    <x v="56"/>
    <n v="1784509"/>
    <n v="31483"/>
    <n v="715"/>
    <n v="105435.42"/>
    <x v="2"/>
    <n v="8"/>
    <n v="1.7642387906141099E-2"/>
    <n v="2.2710669250071501E-2"/>
    <n v="108.01053146853147"/>
    <n v="1.3652569232759355"/>
    <n v="28207.89"/>
    <d v="2024-04-08T00:00:00"/>
    <n v="44.15"/>
    <n v="30"/>
    <n v="3.3489635676396783"/>
    <n v="9.2583564436153794E-3"/>
    <n v="0.73246286684303996"/>
  </r>
  <r>
    <s v="C058"/>
    <x v="3"/>
    <d v="2024-02-16T00:00:00"/>
    <d v="2024-08-04T00:00:00"/>
    <x v="1"/>
    <x v="2"/>
    <x v="3"/>
    <x v="0"/>
    <x v="57"/>
    <n v="915139"/>
    <n v="13466"/>
    <n v="1377"/>
    <n v="192954.17"/>
    <x v="2"/>
    <n v="8"/>
    <n v="1.4714704542151499E-2"/>
    <n v="0.102257537501857"/>
    <n v="13.090355846042119"/>
    <n v="10.704558895160281"/>
    <n v="174928.75"/>
    <d v="2024-08-04T00:00:00"/>
    <n v="63.86"/>
    <n v="170"/>
    <n v="14.328989306401308"/>
    <n v="7.6392117354269706E-2"/>
    <n v="9.3418141727644399E-2"/>
  </r>
  <r>
    <s v="C059"/>
    <x v="0"/>
    <d v="2024-04-03T00:00:00"/>
    <d v="2024-02-06T00:00:00"/>
    <x v="2"/>
    <x v="0"/>
    <x v="0"/>
    <x v="0"/>
    <x v="58"/>
    <n v="1522725"/>
    <n v="29803"/>
    <n v="669"/>
    <n v="119180.53"/>
    <x v="1"/>
    <n v="5"/>
    <n v="1.9572148615147202E-2"/>
    <n v="2.2447404623695599E-2"/>
    <n v="83.489476831091181"/>
    <n v="2.1337692639047985"/>
    <n v="63326.07"/>
    <d v="2024-05-03T00:00:00"/>
    <n v="44.5"/>
    <n v="30"/>
    <n v="3.9989440660336206"/>
    <n v="1.1977557387538971E-2"/>
    <n v="0.46865423404309398"/>
  </r>
  <r>
    <s v="C060"/>
    <x v="3"/>
    <d v="2024-08-25T00:00:00"/>
    <d v="2024-02-02T00:00:00"/>
    <x v="5"/>
    <x v="0"/>
    <x v="2"/>
    <x v="0"/>
    <x v="59"/>
    <n v="1628638"/>
    <n v="19230"/>
    <n v="1821"/>
    <n v="74140.63"/>
    <x v="2"/>
    <n v="4"/>
    <n v="1.18074120829798E-2"/>
    <n v="9.4695787831513306E-2"/>
    <n v="13.972641405820978"/>
    <n v="2.9138541701874456"/>
    <n v="48696.450000000004"/>
    <d v="2024-09-24T00:00:00"/>
    <n v="58.97"/>
    <n v="30"/>
    <n v="3.8554669786791473"/>
    <n v="7.1568429401143996E-2"/>
    <n v="0.34318807379975003"/>
  </r>
  <r>
    <s v="C061"/>
    <x v="3"/>
    <d v="2024-07-22T00:00:00"/>
    <d v="2024-05-20T00:00:00"/>
    <x v="2"/>
    <x v="3"/>
    <x v="1"/>
    <x v="2"/>
    <x v="60"/>
    <n v="1301703"/>
    <n v="18862"/>
    <n v="869"/>
    <n v="62753.279999999999"/>
    <x v="2"/>
    <n v="8"/>
    <n v="1.44902485436386E-2"/>
    <n v="4.6071466440462297E-2"/>
    <n v="7.0787917146144999"/>
    <n v="10.201346995108485"/>
    <n v="56601.81"/>
    <d v="2024-08-21T00:00:00"/>
    <n v="45.39"/>
    <n v="30"/>
    <n v="3.326968508111547"/>
    <n v="0.14126704673842186"/>
    <n v="9.8026270499326898E-2"/>
  </r>
  <r>
    <s v="C062"/>
    <x v="0"/>
    <d v="2024-08-05T00:00:00"/>
    <d v="2024-09-24T00:00:00"/>
    <x v="4"/>
    <x v="0"/>
    <x v="1"/>
    <x v="1"/>
    <x v="61"/>
    <n v="1240631"/>
    <n v="44355"/>
    <n v="913"/>
    <n v="41564.379999999997"/>
    <x v="1"/>
    <n v="8"/>
    <n v="3.57519681516906E-2"/>
    <n v="2.0583925149363101E-2"/>
    <n v="30.574085432639649"/>
    <n v="1.4890080797760561"/>
    <n v="13650.239999999998"/>
    <d v="2024-09-24T00:00:00"/>
    <n v="68.17"/>
    <n v="50"/>
    <n v="0.93708443242024564"/>
    <n v="3.2707437879153721E-2"/>
    <n v="0.67158802801822104"/>
  </r>
  <r>
    <s v="C063"/>
    <x v="1"/>
    <d v="2024-02-08T00:00:00"/>
    <d v="2024-09-25T00:00:00"/>
    <x v="0"/>
    <x v="2"/>
    <x v="3"/>
    <x v="2"/>
    <x v="62"/>
    <n v="1719332"/>
    <n v="32259"/>
    <n v="631"/>
    <n v="215711.09"/>
    <x v="0"/>
    <n v="5"/>
    <n v="1.87625193970682E-2"/>
    <n v="1.9560432747450299E-2"/>
    <n v="154.84629160063392"/>
    <n v="2.2077114250919654"/>
    <n v="118003.08"/>
    <d v="2024-09-25T00:00:00"/>
    <n v="65.88"/>
    <n v="230"/>
    <n v="6.686849871353731"/>
    <n v="6.4580171062740919E-3"/>
    <n v="0.45295775010918499"/>
  </r>
  <r>
    <s v="C064"/>
    <x v="3"/>
    <d v="2024-04-09T00:00:00"/>
    <d v="2024-10-30T00:00:00"/>
    <x v="2"/>
    <x v="1"/>
    <x v="1"/>
    <x v="0"/>
    <x v="63"/>
    <n v="1981342"/>
    <n v="34539"/>
    <n v="1072"/>
    <n v="148085.29999999999"/>
    <x v="0"/>
    <n v="4"/>
    <n v="1.7432124287477899E-2"/>
    <n v="3.1037378036422598E-2"/>
    <n v="75.69592350746268"/>
    <n v="1.8249235360004672"/>
    <n v="66939.26999999999"/>
    <d v="2024-10-30T00:00:00"/>
    <n v="71.94"/>
    <n v="204"/>
    <n v="4.2874808187845623"/>
    <n v="1.3210751037358205E-2"/>
    <n v="0.54796816429449802"/>
  </r>
  <r>
    <s v="C065"/>
    <x v="3"/>
    <d v="2024-10-15T00:00:00"/>
    <d v="2024-11-19T00:00:00"/>
    <x v="2"/>
    <x v="1"/>
    <x v="1"/>
    <x v="0"/>
    <x v="64"/>
    <n v="854565"/>
    <n v="22909"/>
    <n v="744"/>
    <n v="28332.39"/>
    <x v="1"/>
    <n v="6"/>
    <n v="2.6807791098395099E-2"/>
    <n v="3.2476319350473598E-2"/>
    <n v="129.24701612903226"/>
    <n v="0.29463867325819587"/>
    <n v="-67827.39"/>
    <d v="2024-11-19T00:00:00"/>
    <n v="67.19"/>
    <n v="35"/>
    <n v="1.2367362172072112"/>
    <n v="7.7371225266946331E-3"/>
    <n v="3.3939875880573398"/>
  </r>
  <r>
    <s v="C066"/>
    <x v="0"/>
    <d v="2024-09-10T00:00:00"/>
    <d v="2024-09-13T00:00:00"/>
    <x v="5"/>
    <x v="1"/>
    <x v="2"/>
    <x v="0"/>
    <x v="65"/>
    <n v="575069"/>
    <n v="31795"/>
    <n v="1835"/>
    <n v="101819.28"/>
    <x v="2"/>
    <n v="5"/>
    <n v="5.5289017491814002E-2"/>
    <n v="5.77134769617864E-2"/>
    <n v="27.981542234332423"/>
    <n v="1.9829981344261001"/>
    <n v="50473.15"/>
    <d v="2024-09-13T00:00:00"/>
    <n v="26.62"/>
    <n v="3"/>
    <n v="3.202367667872307"/>
    <n v="3.5737844312706726E-2"/>
    <n v="0.50428690911976604"/>
  </r>
  <r>
    <s v="C067"/>
    <x v="3"/>
    <d v="2024-08-09T00:00:00"/>
    <d v="2024-02-14T00:00:00"/>
    <x v="5"/>
    <x v="3"/>
    <x v="3"/>
    <x v="2"/>
    <x v="66"/>
    <n v="164586"/>
    <n v="9770"/>
    <n v="1301"/>
    <n v="98256.08"/>
    <x v="1"/>
    <n v="4"/>
    <n v="5.9361063516945603E-2"/>
    <n v="0.13316274309109499"/>
    <n v="11.856218293620293"/>
    <n v="6.3699489268677869"/>
    <n v="82831.14"/>
    <d v="2024-09-08T00:00:00"/>
    <n v="24.76"/>
    <n v="30"/>
    <n v="10.056917093142273"/>
    <n v="8.4343926135207012E-2"/>
    <n v="0.15698712995674199"/>
  </r>
  <r>
    <s v="C068"/>
    <x v="3"/>
    <d v="2024-01-23T00:00:00"/>
    <d v="2024-08-09T00:00:00"/>
    <x v="1"/>
    <x v="0"/>
    <x v="2"/>
    <x v="2"/>
    <x v="67"/>
    <n v="1548492"/>
    <n v="12093"/>
    <n v="1175"/>
    <n v="53617.41"/>
    <x v="0"/>
    <n v="8"/>
    <n v="7.8095334041118703E-3"/>
    <n v="9.7163648391631496E-2"/>
    <n v="48.558425531914892"/>
    <n v="0.93973059871722864"/>
    <n v="-3438.739999999998"/>
    <d v="2024-08-09T00:00:00"/>
    <n v="70.53"/>
    <n v="199"/>
    <n v="4.4337558918382536"/>
    <n v="2.0593748439037683E-2"/>
    <n v="1.0641347651816799"/>
  </r>
  <r>
    <s v="C069"/>
    <x v="0"/>
    <d v="2024-09-06T00:00:00"/>
    <d v="2024-05-28T00:00:00"/>
    <x v="5"/>
    <x v="2"/>
    <x v="0"/>
    <x v="0"/>
    <x v="68"/>
    <n v="339768"/>
    <n v="47571"/>
    <n v="1660"/>
    <n v="114521.83"/>
    <x v="0"/>
    <n v="4"/>
    <n v="0.14001024228296999"/>
    <n v="3.4895209266149502E-2"/>
    <n v="29.015572289156626"/>
    <n v="2.3776561609522102"/>
    <n v="66355.98000000001"/>
    <d v="2024-10-06T00:00:00"/>
    <n v="75.48"/>
    <n v="30"/>
    <n v="2.407387483971327"/>
    <n v="3.4464252162060879E-2"/>
    <n v="0.42058225929501802"/>
  </r>
  <r>
    <s v="C070"/>
    <x v="0"/>
    <d v="2024-01-10T00:00:00"/>
    <d v="2024-02-27T00:00:00"/>
    <x v="3"/>
    <x v="0"/>
    <x v="0"/>
    <x v="2"/>
    <x v="69"/>
    <n v="581111"/>
    <n v="1193"/>
    <n v="1000"/>
    <n v="89703.85"/>
    <x v="1"/>
    <n v="4"/>
    <n v="2.0529640636642601E-3"/>
    <n v="0.83822296730930401"/>
    <n v="85.213920000000002"/>
    <n v="1.0526901003967428"/>
    <n v="4489.9300000000076"/>
    <d v="2024-02-27T00:00:00"/>
    <n v="14.33"/>
    <n v="48"/>
    <n v="75.191827326068733"/>
    <n v="1.1735171906186219E-2"/>
    <n v="0.94994718732808003"/>
  </r>
  <r>
    <s v="C071"/>
    <x v="4"/>
    <d v="2024-09-02T00:00:00"/>
    <d v="2024-08-19T00:00:00"/>
    <x v="4"/>
    <x v="0"/>
    <x v="0"/>
    <x v="2"/>
    <x v="70"/>
    <n v="592777"/>
    <n v="35775"/>
    <n v="1289"/>
    <n v="92032.89"/>
    <x v="1"/>
    <n v="9"/>
    <n v="6.0351531857680003E-2"/>
    <n v="3.6030747728860897E-2"/>
    <n v="11.107719162141194"/>
    <n v="6.4278428674696269"/>
    <n v="77715.039999999994"/>
    <d v="2024-10-02T00:00:00"/>
    <n v="14.37"/>
    <n v="30"/>
    <n v="2.5725475890985323"/>
    <n v="9.0027483176594245E-2"/>
    <n v="0.155573186933497"/>
  </r>
  <r>
    <s v="C072"/>
    <x v="1"/>
    <d v="2024-04-09T00:00:00"/>
    <d v="2024-03-09T00:00:00"/>
    <x v="4"/>
    <x v="0"/>
    <x v="3"/>
    <x v="0"/>
    <x v="71"/>
    <n v="1086059"/>
    <n v="18569"/>
    <n v="456"/>
    <n v="187366.37"/>
    <x v="0"/>
    <n v="4"/>
    <n v="1.7097597828478899E-2"/>
    <n v="2.4557057461360301E-2"/>
    <n v="112.6818201754386"/>
    <n v="3.6464725333773425"/>
    <n v="135983.46"/>
    <d v="2024-05-09T00:00:00"/>
    <n v="11.34"/>
    <n v="30"/>
    <n v="10.090277882492325"/>
    <n v="8.8745460309663272E-3"/>
    <n v="0.27423763400016798"/>
  </r>
  <r>
    <s v="C073"/>
    <x v="1"/>
    <d v="2024-10-16T00:00:00"/>
    <d v="2024-10-29T00:00:00"/>
    <x v="0"/>
    <x v="1"/>
    <x v="1"/>
    <x v="2"/>
    <x v="72"/>
    <n v="221033"/>
    <n v="12190"/>
    <n v="448"/>
    <n v="63583.21"/>
    <x v="1"/>
    <n v="6"/>
    <n v="5.5150135952550097E-2"/>
    <n v="3.67514356029532E-2"/>
    <n v="42.979062499999998"/>
    <n v="3.3022313605773577"/>
    <n v="44328.59"/>
    <d v="2024-10-29T00:00:00"/>
    <n v="55.13"/>
    <n v="13"/>
    <n v="5.2160139458572603"/>
    <n v="2.3267143158369266E-2"/>
    <n v="0.30282554152267599"/>
  </r>
  <r>
    <s v="C074"/>
    <x v="3"/>
    <d v="2024-06-28T00:00:00"/>
    <d v="2024-09-17T00:00:00"/>
    <x v="0"/>
    <x v="2"/>
    <x v="3"/>
    <x v="1"/>
    <x v="73"/>
    <n v="1611456"/>
    <n v="43752"/>
    <n v="1996"/>
    <n v="164046.39000000001"/>
    <x v="0"/>
    <n v="4"/>
    <n v="2.71506016918861E-2"/>
    <n v="4.56207716218687E-2"/>
    <n v="17.958021042084169"/>
    <n v="4.5766496178880782"/>
    <n v="128202.18000000002"/>
    <d v="2024-09-17T00:00:00"/>
    <n v="53.91"/>
    <n v="81"/>
    <n v="3.7494603675260563"/>
    <n v="5.5685423112965808E-2"/>
    <n v="0.218500449781309"/>
  </r>
  <r>
    <s v="C075"/>
    <x v="1"/>
    <d v="2024-08-10T00:00:00"/>
    <d v="2024-04-25T00:00:00"/>
    <x v="4"/>
    <x v="2"/>
    <x v="3"/>
    <x v="1"/>
    <x v="74"/>
    <n v="1389838"/>
    <n v="33327"/>
    <n v="764"/>
    <n v="146955.91"/>
    <x v="1"/>
    <n v="6"/>
    <n v="2.3979053673881399E-2"/>
    <n v="2.2924355627569198E-2"/>
    <n v="98.231570680628266"/>
    <n v="1.9581349072045275"/>
    <n v="71906.990000000005"/>
    <d v="2024-09-09T00:00:00"/>
    <n v="49.99"/>
    <n v="30"/>
    <n v="4.4095151078704955"/>
    <n v="1.0180026574666231E-2"/>
    <n v="0.51069004302038601"/>
  </r>
  <r>
    <s v="C076"/>
    <x v="3"/>
    <d v="2024-09-06T00:00:00"/>
    <d v="2024-06-04T00:00:00"/>
    <x v="0"/>
    <x v="0"/>
    <x v="1"/>
    <x v="1"/>
    <x v="75"/>
    <n v="1198993"/>
    <n v="43070"/>
    <n v="753"/>
    <n v="146342.20000000001"/>
    <x v="1"/>
    <n v="8"/>
    <n v="3.5921811053108703E-2"/>
    <n v="1.7483166937543499E-2"/>
    <n v="66.695511288180612"/>
    <n v="2.9139225020568791"/>
    <n v="96120.48000000001"/>
    <d v="2024-10-06T00:00:00"/>
    <n v="26.09"/>
    <n v="30"/>
    <n v="3.3977757139540286"/>
    <n v="1.4993512766986076E-2"/>
    <n v="0.34318002599386899"/>
  </r>
  <r>
    <s v="C077"/>
    <x v="4"/>
    <d v="2024-05-26T00:00:00"/>
    <d v="2024-11-25T00:00:00"/>
    <x v="1"/>
    <x v="1"/>
    <x v="2"/>
    <x v="1"/>
    <x v="76"/>
    <n v="1180392"/>
    <n v="21389"/>
    <n v="810"/>
    <n v="169121.76"/>
    <x v="1"/>
    <n v="6"/>
    <n v="1.8120251577442101E-2"/>
    <n v="3.7869933143204401E-2"/>
    <n v="50.258506172839503"/>
    <n v="4.1543673339246796"/>
    <n v="128412.37000000001"/>
    <d v="2024-11-25T00:00:00"/>
    <n v="36"/>
    <n v="183"/>
    <n v="7.9069503015568756"/>
    <n v="1.9897129384645655E-2"/>
    <n v="0.24071053896317099"/>
  </r>
  <r>
    <s v="C078"/>
    <x v="0"/>
    <d v="2024-04-05T00:00:00"/>
    <d v="2024-02-24T00:00:00"/>
    <x v="5"/>
    <x v="1"/>
    <x v="0"/>
    <x v="0"/>
    <x v="77"/>
    <n v="1776199"/>
    <n v="41197"/>
    <n v="548"/>
    <n v="141611.69"/>
    <x v="0"/>
    <n v="8"/>
    <n v="2.31939101418253E-2"/>
    <n v="1.33019394616113E-2"/>
    <n v="77.509580291970806"/>
    <n v="3.3339813185325573"/>
    <n v="99136.44"/>
    <d v="2024-05-05T00:00:00"/>
    <n v="50.38"/>
    <n v="30"/>
    <n v="3.4374272398475618"/>
    <n v="1.2901630949788407E-2"/>
    <n v="0.29994169266675602"/>
  </r>
  <r>
    <s v="C079"/>
    <x v="0"/>
    <d v="2024-09-13T00:00:00"/>
    <d v="2024-06-23T00:00:00"/>
    <x v="4"/>
    <x v="2"/>
    <x v="2"/>
    <x v="0"/>
    <x v="78"/>
    <n v="325709"/>
    <n v="3261"/>
    <n v="1827"/>
    <n v="221021.23"/>
    <x v="1"/>
    <n v="8"/>
    <n v="1.0012004580776101E-2"/>
    <n v="0.56025758969641204"/>
    <n v="26.626951286261633"/>
    <n v="4.5433270486586759"/>
    <n v="172373.79"/>
    <d v="2024-10-13T00:00:00"/>
    <n v="47.66"/>
    <n v="30"/>
    <n v="67.777132781355419"/>
    <n v="3.7555933056292373E-2"/>
    <n v="0.22010301906292001"/>
  </r>
  <r>
    <s v="C080"/>
    <x v="0"/>
    <d v="2024-01-04T00:00:00"/>
    <d v="2024-02-12T00:00:00"/>
    <x v="0"/>
    <x v="1"/>
    <x v="0"/>
    <x v="0"/>
    <x v="79"/>
    <n v="1774290"/>
    <n v="29369"/>
    <n v="1538"/>
    <n v="172139.22"/>
    <x v="0"/>
    <n v="6"/>
    <n v="1.6552536507560799E-2"/>
    <n v="5.2368143280329599E-2"/>
    <n v="51.740292587776338"/>
    <n v="2.1631897429105074"/>
    <n v="92562.65"/>
    <d v="2024-02-12T00:00:00"/>
    <n v="20.81"/>
    <n v="39"/>
    <n v="5.8612557458544723"/>
    <n v="1.9327296966933857E-2"/>
    <n v="0.46228029847004098"/>
  </r>
  <r>
    <s v="C081"/>
    <x v="1"/>
    <d v="2024-01-16T00:00:00"/>
    <d v="2024-08-29T00:00:00"/>
    <x v="4"/>
    <x v="1"/>
    <x v="3"/>
    <x v="1"/>
    <x v="80"/>
    <n v="224023"/>
    <n v="27512"/>
    <n v="1764"/>
    <n v="141271.18"/>
    <x v="0"/>
    <n v="5"/>
    <n v="0.122808818737362"/>
    <n v="6.4117476010468202E-2"/>
    <n v="50.87757936507937"/>
    <n v="1.5740863450515079"/>
    <n v="51523.12999999999"/>
    <d v="2024-08-29T00:00:00"/>
    <n v="20.53"/>
    <n v="226"/>
    <n v="5.134893137539982"/>
    <n v="1.9655023145349674E-2"/>
    <n v="0.63528916513615896"/>
  </r>
  <r>
    <s v="C082"/>
    <x v="4"/>
    <d v="2024-10-06T00:00:00"/>
    <d v="2024-02-24T00:00:00"/>
    <x v="3"/>
    <x v="1"/>
    <x v="0"/>
    <x v="1"/>
    <x v="81"/>
    <n v="927611"/>
    <n v="7716"/>
    <n v="1023"/>
    <n v="209143.15"/>
    <x v="1"/>
    <n v="7"/>
    <n v="8.31814197977385E-3"/>
    <n v="0.132581648522551"/>
    <n v="93.603910068426202"/>
    <n v="2.1841075516307979"/>
    <n v="113386.34999999999"/>
    <d v="2024-11-05T00:00:00"/>
    <n v="15.53"/>
    <n v="30"/>
    <n v="27.105125712804561"/>
    <n v="1.068331439647106E-2"/>
    <n v="0.45785291079339702"/>
  </r>
  <r>
    <s v="C083"/>
    <x v="1"/>
    <d v="2024-09-03T00:00:00"/>
    <d v="2024-04-07T00:00:00"/>
    <x v="2"/>
    <x v="3"/>
    <x v="3"/>
    <x v="2"/>
    <x v="82"/>
    <n v="597936"/>
    <n v="22259"/>
    <n v="1804"/>
    <n v="155475.18"/>
    <x v="1"/>
    <n v="4"/>
    <n v="3.7226392122233803E-2"/>
    <n v="8.1045869086661601E-2"/>
    <n v="44.210543237250555"/>
    <n v="1.949389774940562"/>
    <n v="75719.359999999986"/>
    <d v="2024-10-03T00:00:00"/>
    <n v="15.96"/>
    <n v="30"/>
    <n v="6.9848232175749132"/>
    <n v="2.2619038961670758E-2"/>
    <n v="0.51298104301921399"/>
  </r>
  <r>
    <s v="C084"/>
    <x v="1"/>
    <d v="2024-09-14T00:00:00"/>
    <d v="2024-04-06T00:00:00"/>
    <x v="5"/>
    <x v="0"/>
    <x v="2"/>
    <x v="2"/>
    <x v="83"/>
    <n v="493945"/>
    <n v="29933"/>
    <n v="131"/>
    <n v="79874.62"/>
    <x v="0"/>
    <n v="9"/>
    <n v="6.0599864357367701E-2"/>
    <n v="4.3764407176026497E-3"/>
    <n v="266.89816793893135"/>
    <n v="2.2845039678340306"/>
    <n v="44910.959999999992"/>
    <d v="2024-10-14T00:00:00"/>
    <n v="42.08"/>
    <n v="30"/>
    <n v="2.6684468646644168"/>
    <n v="3.7467473370922833E-3"/>
    <n v="0.43773178514026101"/>
  </r>
  <r>
    <s v="C085"/>
    <x v="4"/>
    <d v="2024-06-08T00:00:00"/>
    <d v="2024-09-19T00:00:00"/>
    <x v="4"/>
    <x v="2"/>
    <x v="3"/>
    <x v="1"/>
    <x v="84"/>
    <n v="1140547"/>
    <n v="42689"/>
    <n v="653"/>
    <n v="59702.78"/>
    <x v="0"/>
    <n v="7"/>
    <n v="3.74285320990718E-2"/>
    <n v="1.5296680643725601E-2"/>
    <n v="107.76845329249618"/>
    <n v="0.84837863492713084"/>
    <n v="-10670.020000000004"/>
    <d v="2024-09-19T00:00:00"/>
    <n v="32.880000000000003"/>
    <n v="103"/>
    <n v="1.3985518517650917"/>
    <n v="9.2791533092331131E-3"/>
    <n v="1.1787189809251799"/>
  </r>
  <r>
    <s v="C086"/>
    <x v="4"/>
    <d v="2024-05-31T00:00:00"/>
    <d v="2024-05-18T00:00:00"/>
    <x v="2"/>
    <x v="2"/>
    <x v="2"/>
    <x v="1"/>
    <x v="85"/>
    <n v="68658"/>
    <n v="5378"/>
    <n v="1760"/>
    <n v="46558.67"/>
    <x v="2"/>
    <n v="4"/>
    <n v="7.8330274694864394E-2"/>
    <n v="0.327259204165117"/>
    <n v="26.461534090909094"/>
    <n v="0.99970733676455736"/>
    <n v="-13.630000000004657"/>
    <d v="2024-06-30T00:00:00"/>
    <n v="24.87"/>
    <n v="30"/>
    <n v="8.6572461881740423"/>
    <n v="3.7790703916276411E-2"/>
    <n v="1.0002927489122899"/>
  </r>
  <r>
    <s v="C087"/>
    <x v="4"/>
    <d v="2024-06-26T00:00:00"/>
    <d v="2024-06-24T00:00:00"/>
    <x v="0"/>
    <x v="3"/>
    <x v="1"/>
    <x v="1"/>
    <x v="86"/>
    <n v="71253"/>
    <n v="41583"/>
    <n v="1824"/>
    <n v="225869.25"/>
    <x v="0"/>
    <n v="4"/>
    <n v="0.58359648014820398"/>
    <n v="4.3864079070774102E-2"/>
    <n v="16.00532346491228"/>
    <n v="7.7369149039296481"/>
    <n v="196675.54"/>
    <d v="2024-07-26T00:00:00"/>
    <n v="13.52"/>
    <n v="30"/>
    <n v="5.4317689921362096"/>
    <n v="6.2479212131654388E-2"/>
    <n v="0.12925048451703799"/>
  </r>
  <r>
    <s v="C088"/>
    <x v="4"/>
    <d v="2024-06-11T00:00:00"/>
    <d v="2024-05-20T00:00:00"/>
    <x v="2"/>
    <x v="0"/>
    <x v="1"/>
    <x v="1"/>
    <x v="87"/>
    <n v="1555958"/>
    <n v="47546"/>
    <n v="821"/>
    <n v="180432.5"/>
    <x v="2"/>
    <n v="8"/>
    <n v="3.0557380083524099E-2"/>
    <n v="1.7267488327093801E-2"/>
    <n v="103.38952496954933"/>
    <n v="2.1256662127074035"/>
    <n v="95549.7"/>
    <d v="2024-07-11T00:00:00"/>
    <n v="65.48"/>
    <n v="30"/>
    <n v="3.7949038825558405"/>
    <n v="9.6721597308288606E-3"/>
    <n v="0.47044074653956502"/>
  </r>
  <r>
    <s v="C089"/>
    <x v="0"/>
    <d v="2024-02-02T00:00:00"/>
    <d v="2024-09-14T00:00:00"/>
    <x v="5"/>
    <x v="2"/>
    <x v="1"/>
    <x v="2"/>
    <x v="88"/>
    <n v="229635"/>
    <n v="20835"/>
    <n v="952"/>
    <n v="234970.83"/>
    <x v="2"/>
    <n v="4"/>
    <n v="9.0730942582794405E-2"/>
    <n v="4.5692344612430998E-2"/>
    <n v="9.0866596638655466"/>
    <n v="27.162687705912951"/>
    <n v="226320.33"/>
    <d v="2024-09-14T00:00:00"/>
    <n v="21.88"/>
    <n v="225"/>
    <n v="11.277697624190065"/>
    <n v="0.11005144211317265"/>
    <n v="3.6815208083488503E-2"/>
  </r>
  <r>
    <s v="C090"/>
    <x v="2"/>
    <d v="2024-06-27T00:00:00"/>
    <d v="2024-05-20T00:00:00"/>
    <x v="4"/>
    <x v="1"/>
    <x v="3"/>
    <x v="1"/>
    <x v="89"/>
    <n v="207462"/>
    <n v="30033"/>
    <n v="414"/>
    <n v="154790.03"/>
    <x v="2"/>
    <n v="9"/>
    <n v="0.14476386036961"/>
    <n v="1.37848366796524E-2"/>
    <n v="219.0033574879227"/>
    <n v="1.7072293577657855"/>
    <n v="64122.64"/>
    <d v="2024-07-27T00:00:00"/>
    <n v="49.66"/>
    <n v="30"/>
    <n v="5.1539982685712387"/>
    <n v="4.5661400421915755E-3"/>
    <n v="0.58574437901459198"/>
  </r>
  <r>
    <s v="C091"/>
    <x v="2"/>
    <d v="2024-04-10T00:00:00"/>
    <d v="2024-03-04T00:00:00"/>
    <x v="3"/>
    <x v="2"/>
    <x v="1"/>
    <x v="2"/>
    <x v="90"/>
    <n v="1449384"/>
    <n v="25000"/>
    <n v="212"/>
    <n v="123616.21"/>
    <x v="1"/>
    <n v="4"/>
    <n v="1.72487070369205E-2"/>
    <n v="8.4799999999999997E-3"/>
    <n v="230.37905660377359"/>
    <n v="2.5310257745847902"/>
    <n v="74775.850000000006"/>
    <d v="2024-05-10T00:00:00"/>
    <n v="61.72"/>
    <n v="30"/>
    <n v="4.9446484000000002"/>
    <n v="4.3406723455764861E-3"/>
    <n v="0.39509672720106898"/>
  </r>
  <r>
    <s v="C092"/>
    <x v="4"/>
    <d v="2024-09-24T00:00:00"/>
    <d v="2024-05-20T00:00:00"/>
    <x v="0"/>
    <x v="1"/>
    <x v="0"/>
    <x v="1"/>
    <x v="91"/>
    <n v="1805514"/>
    <n v="46496"/>
    <n v="1121"/>
    <n v="24331.96"/>
    <x v="1"/>
    <n v="6"/>
    <n v="2.5752223466558598E-2"/>
    <n v="2.41096008258775E-2"/>
    <n v="58.460428189116861"/>
    <n v="0.3712867827364485"/>
    <n v="-41202.18"/>
    <d v="2024-10-24T00:00:00"/>
    <n v="75.040000000000006"/>
    <n v="30"/>
    <n v="0.5233129731589814"/>
    <n v="1.7105588018702923E-2"/>
    <n v="2.6933358430640202"/>
  </r>
  <r>
    <s v="C093"/>
    <x v="2"/>
    <d v="2024-03-05T00:00:00"/>
    <d v="2024-10-20T00:00:00"/>
    <x v="4"/>
    <x v="3"/>
    <x v="2"/>
    <x v="1"/>
    <x v="92"/>
    <n v="260097"/>
    <n v="11332"/>
    <n v="560"/>
    <n v="171194.15"/>
    <x v="0"/>
    <n v="7"/>
    <n v="4.3568361034537102E-2"/>
    <n v="4.9417578538651599E-2"/>
    <n v="120.78325"/>
    <n v="2.5310118686631986"/>
    <n v="103555.53"/>
    <d v="2024-10-20T00:00:00"/>
    <n v="29.01"/>
    <n v="229"/>
    <n v="15.107143487469113"/>
    <n v="8.2792936934550122E-3"/>
    <n v="0.39509889794715503"/>
  </r>
  <r>
    <s v="C094"/>
    <x v="2"/>
    <d v="2024-06-16T00:00:00"/>
    <d v="2024-09-22T00:00:00"/>
    <x v="5"/>
    <x v="1"/>
    <x v="2"/>
    <x v="1"/>
    <x v="93"/>
    <n v="678138"/>
    <n v="43604"/>
    <n v="1402"/>
    <n v="149730.1"/>
    <x v="2"/>
    <n v="6"/>
    <n v="6.4299596837221903E-2"/>
    <n v="3.2153013485001401E-2"/>
    <n v="64.219821683309561"/>
    <n v="1.6629990673750188"/>
    <n v="59693.91"/>
    <d v="2024-09-22T00:00:00"/>
    <n v="78.64"/>
    <n v="98"/>
    <n v="3.4338615723328134"/>
    <n v="1.557151629805748E-2"/>
    <n v="0.60132324763023604"/>
  </r>
  <r>
    <s v="C095"/>
    <x v="4"/>
    <d v="2024-02-12T00:00:00"/>
    <d v="2024-04-22T00:00:00"/>
    <x v="0"/>
    <x v="2"/>
    <x v="0"/>
    <x v="2"/>
    <x v="94"/>
    <n v="1000162"/>
    <n v="3800"/>
    <n v="1913"/>
    <n v="247650.13"/>
    <x v="1"/>
    <n v="9"/>
    <n v="3.7993844997110502E-3"/>
    <n v="0.50342105263157899"/>
    <n v="34.230852064819658"/>
    <n v="3.7818637699015416"/>
    <n v="182166.51"/>
    <d v="2024-04-22T00:00:00"/>
    <n v="63.15"/>
    <n v="70"/>
    <n v="65.171086842105268"/>
    <n v="2.9213412453373836E-2"/>
    <n v="0.26441988946260597"/>
  </r>
  <r>
    <s v="C096"/>
    <x v="2"/>
    <d v="2024-02-13T00:00:00"/>
    <d v="2024-03-12T00:00:00"/>
    <x v="1"/>
    <x v="2"/>
    <x v="3"/>
    <x v="2"/>
    <x v="95"/>
    <n v="712212"/>
    <n v="30538"/>
    <n v="165"/>
    <n v="67398.11"/>
    <x v="1"/>
    <n v="4"/>
    <n v="4.28776824877986E-2"/>
    <n v="5.4031043290326802E-3"/>
    <n v="383.7799393939394"/>
    <n v="1.0643427443978706"/>
    <n v="4074.4199999999983"/>
    <d v="2024-03-12T00:00:00"/>
    <n v="77.77"/>
    <n v="28"/>
    <n v="2.2070243630886108"/>
    <n v="2.6056599039001043E-3"/>
    <n v="0.93954696949217098"/>
  </r>
  <r>
    <s v="C097"/>
    <x v="1"/>
    <d v="2024-10-11T00:00:00"/>
    <d v="2024-05-10T00:00:00"/>
    <x v="2"/>
    <x v="2"/>
    <x v="3"/>
    <x v="0"/>
    <x v="96"/>
    <n v="570498"/>
    <n v="31119"/>
    <n v="990"/>
    <n v="137376.97"/>
    <x v="1"/>
    <n v="9"/>
    <n v="5.4547079919649098E-2"/>
    <n v="3.1813361611876999E-2"/>
    <n v="11.44640404040404"/>
    <n v="12.122987767319628"/>
    <n v="126045.03"/>
    <d v="2024-11-10T00:00:00"/>
    <n v="18.309999999999999"/>
    <n v="30"/>
    <n v="4.414568912882805"/>
    <n v="8.7363681770288221E-2"/>
    <n v="8.2487916278834797E-2"/>
  </r>
  <r>
    <s v="C098"/>
    <x v="3"/>
    <d v="2024-01-12T00:00:00"/>
    <d v="2024-02-05T00:00:00"/>
    <x v="5"/>
    <x v="3"/>
    <x v="2"/>
    <x v="1"/>
    <x v="97"/>
    <n v="1324634"/>
    <n v="9333"/>
    <n v="1922"/>
    <n v="166229.76000000001"/>
    <x v="1"/>
    <n v="8"/>
    <n v="7.0457197988274501E-3"/>
    <n v="0.20593592628308199"/>
    <n v="28.225161290322582"/>
    <n v="3.064213080630783"/>
    <n v="111981"/>
    <d v="2024-02-05T00:00:00"/>
    <n v="11.34"/>
    <n v="24"/>
    <n v="17.810967534554806"/>
    <n v="3.5429381242999838E-2"/>
    <n v="0.32634806186329102"/>
  </r>
  <r>
    <s v="C099"/>
    <x v="3"/>
    <d v="2024-04-04T00:00:00"/>
    <d v="2024-07-28T00:00:00"/>
    <x v="1"/>
    <x v="3"/>
    <x v="1"/>
    <x v="0"/>
    <x v="98"/>
    <n v="707911"/>
    <n v="6410"/>
    <n v="386"/>
    <n v="164701.88"/>
    <x v="1"/>
    <n v="6"/>
    <n v="9.0548105623447003E-3"/>
    <n v="6.0218408736349399E-2"/>
    <n v="49.912072538860109"/>
    <n v="8.5488096684013222"/>
    <n v="145435.82"/>
    <d v="2024-07-28T00:00:00"/>
    <n v="33.47"/>
    <n v="115"/>
    <n v="25.694521060842433"/>
    <n v="2.003523294332105E-2"/>
    <n v="0.116975349643853"/>
  </r>
  <r>
    <s v="C100"/>
    <x v="4"/>
    <d v="2024-09-09T00:00:00"/>
    <d v="2024-11-07T00:00:00"/>
    <x v="4"/>
    <x v="0"/>
    <x v="3"/>
    <x v="0"/>
    <x v="99"/>
    <n v="908379"/>
    <n v="18839"/>
    <n v="930"/>
    <n v="144710.45000000001"/>
    <x v="2"/>
    <n v="6"/>
    <n v="2.0739140821177102E-2"/>
    <n v="4.9365677583735897E-2"/>
    <n v="80.705602150537644"/>
    <n v="1.9280276741924485"/>
    <n v="69654.240000000005"/>
    <d v="2024-11-07T00:00:00"/>
    <n v="15.92"/>
    <n v="59"/>
    <n v="7.6814294813949795"/>
    <n v="1.239071357320067E-2"/>
    <n v="0.51866475434220505"/>
  </r>
  <r>
    <s v="C101"/>
    <x v="0"/>
    <d v="2024-08-29T00:00:00"/>
    <d v="2024-09-12T00:00:00"/>
    <x v="3"/>
    <x v="2"/>
    <x v="3"/>
    <x v="2"/>
    <x v="100"/>
    <n v="1683865"/>
    <n v="31519"/>
    <n v="786"/>
    <n v="196462.72"/>
    <x v="2"/>
    <n v="5"/>
    <n v="1.8718246415241099E-2"/>
    <n v="2.4937339382594601E-2"/>
    <n v="68.271094147582701"/>
    <n v="3.661177151112128"/>
    <n v="142801.64000000001"/>
    <d v="2024-09-12T00:00:00"/>
    <n v="67.569999999999993"/>
    <n v="14"/>
    <n v="6.233152067007202"/>
    <n v="1.4647487527273025E-2"/>
    <n v="0.27313619601723899"/>
  </r>
  <r>
    <s v="C102"/>
    <x v="4"/>
    <d v="2024-02-04T00:00:00"/>
    <d v="2024-09-15T00:00:00"/>
    <x v="0"/>
    <x v="1"/>
    <x v="0"/>
    <x v="2"/>
    <x v="101"/>
    <n v="1278807"/>
    <n v="6808"/>
    <n v="1937"/>
    <n v="59195.49"/>
    <x v="2"/>
    <n v="4"/>
    <n v="5.3237118658249396E-3"/>
    <n v="0.28451821386603998"/>
    <n v="35.943025296850799"/>
    <n v="0.85024555583580042"/>
    <n v="-10426.150000000001"/>
    <d v="2024-09-15T00:00:00"/>
    <n v="45.74"/>
    <n v="224"/>
    <n v="8.6949897179788476"/>
    <n v="2.7821809425919872E-2"/>
    <n v="1.17613081672269"/>
  </r>
  <r>
    <s v="C103"/>
    <x v="0"/>
    <d v="2024-08-02T00:00:00"/>
    <d v="2024-11-14T00:00:00"/>
    <x v="2"/>
    <x v="3"/>
    <x v="0"/>
    <x v="0"/>
    <x v="102"/>
    <n v="172775"/>
    <n v="7796"/>
    <n v="889"/>
    <n v="184150.53"/>
    <x v="2"/>
    <n v="8"/>
    <n v="4.5122268846765998E-2"/>
    <n v="0.114032837352488"/>
    <n v="10.077536557930259"/>
    <n v="20.554969176006509"/>
    <n v="175191.6"/>
    <d v="2024-11-14T00:00:00"/>
    <n v="74.900000000000006"/>
    <n v="104"/>
    <n v="23.621155720882502"/>
    <n v="9.923060008282239E-2"/>
    <n v="4.8650036467448698E-2"/>
  </r>
  <r>
    <s v="C104"/>
    <x v="3"/>
    <d v="2024-03-30T00:00:00"/>
    <d v="2024-06-28T00:00:00"/>
    <x v="0"/>
    <x v="2"/>
    <x v="1"/>
    <x v="1"/>
    <x v="103"/>
    <n v="1019211"/>
    <n v="22180"/>
    <n v="196"/>
    <n v="158736.29999999999"/>
    <x v="0"/>
    <n v="6"/>
    <n v="2.1761931533313499E-2"/>
    <n v="8.8367899008115394E-3"/>
    <n v="66.608367346938778"/>
    <n v="12.158818987624892"/>
    <n v="145681.06"/>
    <d v="2024-06-28T00:00:00"/>
    <n v="31.17"/>
    <n v="90"/>
    <n v="7.1567312894499544"/>
    <n v="1.5013128827964864E-2"/>
    <n v="8.2244829947529394E-2"/>
  </r>
  <r>
    <s v="C105"/>
    <x v="4"/>
    <d v="2024-09-20T00:00:00"/>
    <d v="2024-11-02T00:00:00"/>
    <x v="4"/>
    <x v="2"/>
    <x v="3"/>
    <x v="2"/>
    <x v="104"/>
    <n v="1656107"/>
    <n v="44056"/>
    <n v="1648"/>
    <n v="225058.03"/>
    <x v="2"/>
    <n v="6"/>
    <n v="2.6602145875840099E-2"/>
    <n v="3.7406936626112199E-2"/>
    <n v="44.326893203883493"/>
    <n v="3.0808461573000239"/>
    <n v="152007.31"/>
    <d v="2024-11-02T00:00:00"/>
    <n v="40.1"/>
    <n v="43"/>
    <n v="5.1084535591065912"/>
    <n v="2.2559668131949966E-2"/>
    <n v="0.32458615229147803"/>
  </r>
  <r>
    <s v="C106"/>
    <x v="1"/>
    <d v="2024-04-02T00:00:00"/>
    <d v="2024-08-15T00:00:00"/>
    <x v="0"/>
    <x v="3"/>
    <x v="3"/>
    <x v="1"/>
    <x v="105"/>
    <n v="727160"/>
    <n v="18709"/>
    <n v="1879"/>
    <n v="213326.67"/>
    <x v="1"/>
    <n v="8"/>
    <n v="2.57288629737609E-2"/>
    <n v="0.10043294671014"/>
    <n v="6.3054869611495477"/>
    <n v="18.005274303448427"/>
    <n v="201478.66"/>
    <d v="2024-08-15T00:00:00"/>
    <n v="23"/>
    <n v="135"/>
    <n v="11.402355550804426"/>
    <n v="0.15859203359889129"/>
    <n v="5.5539281609748997E-2"/>
  </r>
  <r>
    <s v="C107"/>
    <x v="2"/>
    <d v="2024-03-30T00:00:00"/>
    <d v="2024-04-09T00:00:00"/>
    <x v="2"/>
    <x v="0"/>
    <x v="0"/>
    <x v="1"/>
    <x v="106"/>
    <n v="1960947"/>
    <n v="18543"/>
    <n v="1396"/>
    <n v="85635.29"/>
    <x v="2"/>
    <n v="9"/>
    <n v="9.4561454236142001E-3"/>
    <n v="7.5284473925470496E-2"/>
    <n v="8.4307951289398275"/>
    <n v="7.2761026697220501"/>
    <n v="73865.899999999994"/>
    <d v="2024-04-09T00:00:00"/>
    <n v="55.99"/>
    <n v="10"/>
    <n v="4.6182003990724256"/>
    <n v="0.11861277432390295"/>
    <n v="0.13743621350497001"/>
  </r>
  <r>
    <s v="C108"/>
    <x v="0"/>
    <d v="2024-04-24T00:00:00"/>
    <d v="2024-05-21T00:00:00"/>
    <x v="4"/>
    <x v="3"/>
    <x v="3"/>
    <x v="0"/>
    <x v="107"/>
    <n v="369972"/>
    <n v="38418"/>
    <n v="492"/>
    <n v="76296.960000000006"/>
    <x v="0"/>
    <n v="9"/>
    <n v="0.10384029061658701"/>
    <n v="1.2806496954552601E-2"/>
    <n v="12.500630081300814"/>
    <n v="12.405384444036155"/>
    <n v="70146.650000000009"/>
    <d v="2024-05-21T00:00:00"/>
    <n v="78.14"/>
    <n v="27"/>
    <n v="1.9859690769951588"/>
    <n v="7.9995967682929797E-2"/>
    <n v="8.06101579931887E-2"/>
  </r>
  <r>
    <s v="C109"/>
    <x v="2"/>
    <d v="2024-04-14T00:00:00"/>
    <d v="2024-02-03T00:00:00"/>
    <x v="0"/>
    <x v="3"/>
    <x v="2"/>
    <x v="0"/>
    <x v="108"/>
    <n v="1360292"/>
    <n v="30075"/>
    <n v="886"/>
    <n v="245596.79999999999"/>
    <x v="1"/>
    <n v="4"/>
    <n v="2.2109223607872399E-2"/>
    <n v="2.9459684123025801E-2"/>
    <n v="108.20274266365689"/>
    <n v="2.5618323932697615"/>
    <n v="149729.16999999998"/>
    <d v="2024-05-14T00:00:00"/>
    <n v="13.47"/>
    <n v="30"/>
    <n v="8.1661446384039902"/>
    <n v="9.241909912657692E-3"/>
    <n v="0.39034559896545901"/>
  </r>
  <r>
    <s v="C110"/>
    <x v="2"/>
    <d v="2024-07-14T00:00:00"/>
    <d v="2024-05-04T00:00:00"/>
    <x v="3"/>
    <x v="1"/>
    <x v="0"/>
    <x v="0"/>
    <x v="109"/>
    <n v="1499031"/>
    <n v="38755"/>
    <n v="1086"/>
    <n v="136543.64000000001"/>
    <x v="2"/>
    <n v="5"/>
    <n v="2.5853367942357399E-2"/>
    <n v="2.80221906850729E-2"/>
    <n v="69.119051565377532"/>
    <n v="1.8190468336786201"/>
    <n v="61480.35000000002"/>
    <d v="2024-08-13T00:00:00"/>
    <n v="57.43"/>
    <n v="30"/>
    <n v="3.5232522255192884"/>
    <n v="1.4467791113339158E-2"/>
    <n v="0.54973845724341297"/>
  </r>
  <r>
    <s v="C111"/>
    <x v="4"/>
    <d v="2024-04-23T00:00:00"/>
    <d v="2024-06-30T00:00:00"/>
    <x v="5"/>
    <x v="1"/>
    <x v="1"/>
    <x v="0"/>
    <x v="110"/>
    <n v="318854"/>
    <n v="48968"/>
    <n v="992"/>
    <n v="227541.03"/>
    <x v="2"/>
    <n v="6"/>
    <n v="0.15357499043449399"/>
    <n v="2.02581277569025E-2"/>
    <n v="38.869838709677417"/>
    <n v="5.9011317237430134"/>
    <n v="188982.15"/>
    <d v="2024-06-30T00:00:00"/>
    <n v="30.4"/>
    <n v="68"/>
    <n v="4.6467290883842507"/>
    <n v="2.5726888332856142E-2"/>
    <n v="0.169459020203961"/>
  </r>
  <r>
    <s v="C112"/>
    <x v="2"/>
    <d v="2024-03-15T00:00:00"/>
    <d v="2024-06-15T00:00:00"/>
    <x v="4"/>
    <x v="0"/>
    <x v="0"/>
    <x v="2"/>
    <x v="111"/>
    <n v="464600"/>
    <n v="38465"/>
    <n v="1567"/>
    <n v="49331.45"/>
    <x v="2"/>
    <n v="5"/>
    <n v="8.27916487300904E-2"/>
    <n v="4.07383335499805E-2"/>
    <n v="21.168398213146137"/>
    <n v="1.4871914763792822"/>
    <n v="16160.57"/>
    <d v="2024-06-15T00:00:00"/>
    <n v="16.09"/>
    <n v="92"/>
    <n v="1.2825022747952683"/>
    <n v="4.7240229984854186E-2"/>
    <n v="0.67240837234664697"/>
  </r>
  <r>
    <s v="C113"/>
    <x v="1"/>
    <d v="2024-08-04T00:00:00"/>
    <d v="2024-10-03T00:00:00"/>
    <x v="5"/>
    <x v="2"/>
    <x v="3"/>
    <x v="2"/>
    <x v="112"/>
    <n v="221918"/>
    <n v="31502"/>
    <n v="1774"/>
    <n v="164276.54"/>
    <x v="1"/>
    <n v="9"/>
    <n v="0.141953334114403"/>
    <n v="5.6313884832709001E-2"/>
    <n v="21.545552423900787"/>
    <n v="4.2979790857628153"/>
    <n v="126054.73000000001"/>
    <d v="2024-10-03T00:00:00"/>
    <n v="51.95"/>
    <n v="60"/>
    <n v="5.2147971557361439"/>
    <n v="4.6413291259623762E-2"/>
    <n v="0.23266748861401601"/>
  </r>
  <r>
    <s v="C114"/>
    <x v="2"/>
    <d v="2024-10-03T00:00:00"/>
    <d v="2024-09-29T00:00:00"/>
    <x v="4"/>
    <x v="3"/>
    <x v="1"/>
    <x v="0"/>
    <x v="113"/>
    <n v="269055"/>
    <n v="17724"/>
    <n v="336"/>
    <n v="204366.44"/>
    <x v="1"/>
    <n v="9"/>
    <n v="6.5875006968835401E-2"/>
    <n v="1.8957345971564E-2"/>
    <n v="233.90502976190476"/>
    <n v="2.6003436223670855"/>
    <n v="125774.35"/>
    <d v="2024-11-02T00:00:00"/>
    <n v="31.45"/>
    <n v="30"/>
    <n v="11.530491988264501"/>
    <n v="4.2752394038636718E-3"/>
    <n v="0.38456455962143299"/>
  </r>
  <r>
    <s v="C115"/>
    <x v="4"/>
    <d v="2024-09-05T00:00:00"/>
    <d v="2024-03-01T00:00:00"/>
    <x v="3"/>
    <x v="0"/>
    <x v="0"/>
    <x v="2"/>
    <x v="114"/>
    <n v="1398711"/>
    <n v="4828"/>
    <n v="769"/>
    <n v="237374.86"/>
    <x v="0"/>
    <n v="7"/>
    <n v="3.4517495036501498E-3"/>
    <n v="0.15927920463960199"/>
    <n v="88.205734720416132"/>
    <n v="3.4995448193363985"/>
    <n v="169544.64999999997"/>
    <d v="2024-10-05T00:00:00"/>
    <n v="71.8"/>
    <n v="30"/>
    <n v="49.166292460646225"/>
    <n v="1.1337131346047725E-2"/>
    <n v="0.28575144815251302"/>
  </r>
  <r>
    <s v="C116"/>
    <x v="1"/>
    <d v="2024-06-12T00:00:00"/>
    <d v="2024-03-10T00:00:00"/>
    <x v="5"/>
    <x v="1"/>
    <x v="2"/>
    <x v="0"/>
    <x v="115"/>
    <n v="784417"/>
    <n v="18087"/>
    <n v="1187"/>
    <n v="90961.63"/>
    <x v="1"/>
    <n v="4"/>
    <n v="2.30578888524853E-2"/>
    <n v="6.5627246088350702E-2"/>
    <n v="19.03418702611626"/>
    <n v="4.0259945524348062"/>
    <n v="68368.05"/>
    <d v="2024-07-12T00:00:00"/>
    <n v="29.49"/>
    <n v="30"/>
    <n v="5.0291164925084315"/>
    <n v="5.253704813491266E-2"/>
    <n v="0.24838583037705"/>
  </r>
  <r>
    <s v="C117"/>
    <x v="3"/>
    <d v="2024-07-10T00:00:00"/>
    <d v="2024-09-15T00:00:00"/>
    <x v="1"/>
    <x v="3"/>
    <x v="2"/>
    <x v="1"/>
    <x v="116"/>
    <n v="1080697"/>
    <n v="13605"/>
    <n v="529"/>
    <n v="183995.48"/>
    <x v="1"/>
    <n v="7"/>
    <n v="1.25890975916469E-2"/>
    <n v="3.8882763689819903E-2"/>
    <n v="40.719073724007558"/>
    <n v="8.5418824821649011"/>
    <n v="162455.09000000003"/>
    <d v="2024-09-15T00:00:00"/>
    <n v="40.78"/>
    <n v="67"/>
    <n v="13.52410731348769"/>
    <n v="2.4558515421494224E-2"/>
    <n v="0.11707021281174999"/>
  </r>
  <r>
    <s v="C118"/>
    <x v="2"/>
    <d v="2024-08-14T00:00:00"/>
    <d v="2024-03-06T00:00:00"/>
    <x v="2"/>
    <x v="2"/>
    <x v="0"/>
    <x v="1"/>
    <x v="117"/>
    <n v="1498763"/>
    <n v="32337"/>
    <n v="71"/>
    <n v="139315.12"/>
    <x v="2"/>
    <n v="7"/>
    <n v="2.1575792837159699E-2"/>
    <n v="2.19562729999691E-3"/>
    <n v="202.0787323943662"/>
    <n v="9.7100014706302584"/>
    <n v="124967.53"/>
    <d v="2024-09-13T00:00:00"/>
    <n v="10.050000000000001"/>
    <n v="30"/>
    <n v="4.3082264897795097"/>
    <n v="4.9485662748935538E-3"/>
    <n v="0.102986596142615"/>
  </r>
  <r>
    <s v="C119"/>
    <x v="4"/>
    <d v="2024-06-25T00:00:00"/>
    <d v="2024-09-09T00:00:00"/>
    <x v="1"/>
    <x v="1"/>
    <x v="2"/>
    <x v="1"/>
    <x v="118"/>
    <n v="472355"/>
    <n v="6482"/>
    <n v="1422"/>
    <n v="24550.94"/>
    <x v="1"/>
    <n v="7"/>
    <n v="1.37227297265828E-2"/>
    <n v="0.21937673557543999"/>
    <n v="47.629226441631502"/>
    <n v="0.36248914050692793"/>
    <n v="-43177.819999999992"/>
    <d v="2024-09-09T00:00:00"/>
    <n v="29.67"/>
    <n v="76"/>
    <n v="3.7875563097809315"/>
    <n v="2.0995512098553111E-2"/>
    <n v="2.75870333274408"/>
  </r>
  <r>
    <s v="C120"/>
    <x v="3"/>
    <d v="2024-04-08T00:00:00"/>
    <d v="2024-02-05T00:00:00"/>
    <x v="0"/>
    <x v="1"/>
    <x v="2"/>
    <x v="0"/>
    <x v="119"/>
    <n v="921877"/>
    <n v="28005"/>
    <n v="1799"/>
    <n v="175599.94"/>
    <x v="2"/>
    <n v="4"/>
    <n v="3.0378239179413302E-2"/>
    <n v="6.4238528834136804E-2"/>
    <n v="43.143635352973874"/>
    <n v="2.2624368359887344"/>
    <n v="97984.540000000008"/>
    <d v="2024-05-08T00:00:00"/>
    <n v="56.13"/>
    <n v="30"/>
    <n v="6.2703067309409031"/>
    <n v="2.3178389855621439E-2"/>
    <n v="0.44200128997766203"/>
  </r>
  <r>
    <s v="C121"/>
    <x v="3"/>
    <d v="2024-02-05T00:00:00"/>
    <d v="2024-09-06T00:00:00"/>
    <x v="3"/>
    <x v="1"/>
    <x v="2"/>
    <x v="1"/>
    <x v="120"/>
    <n v="1306715"/>
    <n v="23760"/>
    <n v="732"/>
    <n v="175623.17"/>
    <x v="2"/>
    <n v="4"/>
    <n v="1.8183000883895899E-2"/>
    <n v="3.0808080808080798E-2"/>
    <n v="41.228702185792351"/>
    <n v="5.8193042872607519"/>
    <n v="145443.76"/>
    <d v="2024-09-06T00:00:00"/>
    <n v="57.49"/>
    <n v="214"/>
    <n v="7.3915475589225599"/>
    <n v="2.4254947329984251E-2"/>
    <n v="0.17184184751932199"/>
  </r>
  <r>
    <s v="C122"/>
    <x v="0"/>
    <d v="2024-04-05T00:00:00"/>
    <d v="2024-04-14T00:00:00"/>
    <x v="1"/>
    <x v="0"/>
    <x v="1"/>
    <x v="2"/>
    <x v="121"/>
    <n v="130257"/>
    <n v="6463"/>
    <n v="1908"/>
    <n v="233345.63"/>
    <x v="1"/>
    <n v="8"/>
    <n v="4.96172950398059E-2"/>
    <n v="0.29521893857341802"/>
    <n v="3.6634014675052415"/>
    <n v="33.38387815335841"/>
    <n v="226355.86000000002"/>
    <d v="2024-04-14T00:00:00"/>
    <n v="47.2"/>
    <n v="9"/>
    <n v="36.104847593996595"/>
    <n v="0.2729703552477406"/>
    <n v="2.9954578536568299E-2"/>
  </r>
  <r>
    <s v="C123"/>
    <x v="1"/>
    <d v="2024-05-31T00:00:00"/>
    <d v="2024-02-03T00:00:00"/>
    <x v="4"/>
    <x v="2"/>
    <x v="2"/>
    <x v="1"/>
    <x v="122"/>
    <n v="1576534"/>
    <n v="47628"/>
    <n v="1639"/>
    <n v="129354.99"/>
    <x v="0"/>
    <n v="5"/>
    <n v="3.0210575858179999E-2"/>
    <n v="3.4412530444276501E-2"/>
    <n v="7.813489932885906"/>
    <n v="10.100879175968723"/>
    <n v="116548.68000000001"/>
    <d v="2024-06-30T00:00:00"/>
    <n v="21.4"/>
    <n v="30"/>
    <n v="2.7159441924918117"/>
    <n v="0.12798378299447694"/>
    <n v="9.9001283212963004E-2"/>
  </r>
  <r>
    <s v="C124"/>
    <x v="2"/>
    <d v="2024-05-30T00:00:00"/>
    <d v="2024-06-12T00:00:00"/>
    <x v="0"/>
    <x v="3"/>
    <x v="2"/>
    <x v="1"/>
    <x v="123"/>
    <n v="874143"/>
    <n v="5912"/>
    <n v="955"/>
    <n v="65260.22"/>
    <x v="0"/>
    <n v="5"/>
    <n v="6.7631954954738499E-3"/>
    <n v="0.16153585926928299"/>
    <n v="101.51486910994764"/>
    <n v="0.67315566182242415"/>
    <n v="-31686.479999999996"/>
    <d v="2024-06-12T00:00:00"/>
    <n v="64.39"/>
    <n v="13"/>
    <n v="11.038602841677942"/>
    <n v="9.8507736725437795E-3"/>
    <n v="1.48554050231519"/>
  </r>
  <r>
    <s v="C125"/>
    <x v="4"/>
    <d v="2024-07-08T00:00:00"/>
    <d v="2024-05-27T00:00:00"/>
    <x v="0"/>
    <x v="0"/>
    <x v="2"/>
    <x v="1"/>
    <x v="124"/>
    <n v="1105106"/>
    <n v="5648"/>
    <n v="1883"/>
    <n v="20695.32"/>
    <x v="1"/>
    <n v="8"/>
    <n v="5.1108219483017902E-3"/>
    <n v="0.333392351274788"/>
    <n v="17.56093998937865"/>
    <n v="0.62585549146058406"/>
    <n v="-12371.93"/>
    <d v="2024-08-07T00:00:00"/>
    <n v="49.6"/>
    <n v="30"/>
    <n v="3.6641855524079321"/>
    <n v="5.6944559949799273E-2"/>
    <n v="1.59781293548493"/>
  </r>
  <r>
    <s v="C126"/>
    <x v="0"/>
    <d v="2024-08-11T00:00:00"/>
    <d v="2024-05-03T00:00:00"/>
    <x v="1"/>
    <x v="0"/>
    <x v="1"/>
    <x v="2"/>
    <x v="125"/>
    <n v="1371836"/>
    <n v="34623"/>
    <n v="369"/>
    <n v="109754.12"/>
    <x v="0"/>
    <n v="8"/>
    <n v="2.5238439580241401E-2"/>
    <n v="1.0657655315830499E-2"/>
    <n v="211.58861788617887"/>
    <n v="1.4057308116942167"/>
    <n v="31677.919999999998"/>
    <d v="2024-09-10T00:00:00"/>
    <n v="69.37"/>
    <n v="30"/>
    <n v="3.1699771827975622"/>
    <n v="4.726152143675025E-3"/>
    <n v="0.71137375070748998"/>
  </r>
  <r>
    <s v="C127"/>
    <x v="1"/>
    <d v="2024-02-06T00:00:00"/>
    <d v="2024-04-01T00:00:00"/>
    <x v="1"/>
    <x v="0"/>
    <x v="0"/>
    <x v="0"/>
    <x v="126"/>
    <n v="1688658"/>
    <n v="36634"/>
    <n v="175"/>
    <n v="82460.009999999995"/>
    <x v="2"/>
    <n v="9"/>
    <n v="2.1694150029194802E-2"/>
    <n v="4.7769831304252898E-3"/>
    <n v="367.67451428571428"/>
    <n v="1.2815684493614228"/>
    <n v="18116.969999999994"/>
    <d v="2024-04-01T00:00:00"/>
    <n v="71.92"/>
    <n v="55"/>
    <n v="2.2509147240268601"/>
    <n v="2.719796888676693E-3"/>
    <n v="0.78029386608126805"/>
  </r>
  <r>
    <s v="C128"/>
    <x v="0"/>
    <d v="2024-09-24T00:00:00"/>
    <d v="2024-08-11T00:00:00"/>
    <x v="3"/>
    <x v="1"/>
    <x v="3"/>
    <x v="2"/>
    <x v="127"/>
    <n v="967786"/>
    <n v="45602"/>
    <n v="326"/>
    <n v="192661.19"/>
    <x v="2"/>
    <n v="7"/>
    <n v="4.7119921139590799E-2"/>
    <n v="7.1488092627516302E-3"/>
    <n v="126.63886503067484"/>
    <n v="4.6666972675064864"/>
    <n v="151376.92000000001"/>
    <d v="2024-10-24T00:00:00"/>
    <n v="79.97"/>
    <n v="30"/>
    <n v="4.224840796456296"/>
    <n v="7.8964700114595703E-3"/>
    <n v="0.214284309154324"/>
  </r>
  <r>
    <s v="C129"/>
    <x v="1"/>
    <d v="2024-07-01T00:00:00"/>
    <d v="2024-08-20T00:00:00"/>
    <x v="2"/>
    <x v="2"/>
    <x v="2"/>
    <x v="0"/>
    <x v="128"/>
    <n v="260545"/>
    <n v="4112"/>
    <n v="1277"/>
    <n v="95024.26"/>
    <x v="1"/>
    <n v="8"/>
    <n v="1.5782302481337201E-2"/>
    <n v="0.31055447470817099"/>
    <n v="19.217141738449492"/>
    <n v="3.8721734747225884"/>
    <n v="70483.97"/>
    <d v="2024-08-20T00:00:00"/>
    <n v="44.27"/>
    <n v="50"/>
    <n v="23.109012645914394"/>
    <n v="5.2036874869856871E-2"/>
    <n v="0.25825289247187999"/>
  </r>
  <r>
    <s v="C130"/>
    <x v="1"/>
    <d v="2024-01-13T00:00:00"/>
    <d v="2024-02-25T00:00:00"/>
    <x v="1"/>
    <x v="0"/>
    <x v="0"/>
    <x v="0"/>
    <x v="129"/>
    <n v="1755834"/>
    <n v="23054"/>
    <n v="243"/>
    <n v="237777.09"/>
    <x v="0"/>
    <n v="6"/>
    <n v="1.31299428078053E-2"/>
    <n v="1.05404702003991E-2"/>
    <n v="68.03172839506172"/>
    <n v="14.383091041398622"/>
    <n v="221245.38"/>
    <d v="2024-02-25T00:00:00"/>
    <n v="41.86"/>
    <n v="43"/>
    <n v="10.313919059599202"/>
    <n v="1.4699023875932981E-2"/>
    <n v="6.9526084283393297E-2"/>
  </r>
  <r>
    <s v="C131"/>
    <x v="2"/>
    <d v="2024-10-05T00:00:00"/>
    <d v="2024-07-21T00:00:00"/>
    <x v="1"/>
    <x v="3"/>
    <x v="2"/>
    <x v="1"/>
    <x v="130"/>
    <n v="578423"/>
    <n v="5492"/>
    <n v="1754"/>
    <n v="240954.45"/>
    <x v="0"/>
    <n v="5"/>
    <n v="9.4947815007356204E-3"/>
    <n v="0.31937363437727601"/>
    <n v="36.160906499429878"/>
    <n v="3.7989716557329674"/>
    <n v="177528.22"/>
    <d v="2024-11-04T00:00:00"/>
    <n v="12.1"/>
    <n v="30"/>
    <n v="43.873716314639481"/>
    <n v="2.7654173990792136E-2"/>
    <n v="0.263229128990977"/>
  </r>
  <r>
    <s v="C132"/>
    <x v="1"/>
    <d v="2024-08-04T00:00:00"/>
    <d v="2024-11-25T00:00:00"/>
    <x v="5"/>
    <x v="2"/>
    <x v="1"/>
    <x v="0"/>
    <x v="131"/>
    <n v="974133"/>
    <n v="23207"/>
    <n v="1737"/>
    <n v="159018.06"/>
    <x v="2"/>
    <n v="8"/>
    <n v="2.38232356362016E-2"/>
    <n v="7.4848106174860998E-2"/>
    <n v="45.24479562464019"/>
    <n v="2.0233825561733449"/>
    <n v="80427.849999999991"/>
    <d v="2024-11-25T00:00:00"/>
    <n v="61.31"/>
    <n v="113"/>
    <n v="6.8521592622915497"/>
    <n v="2.2101989548062029E-2"/>
    <n v="0.49422191416497002"/>
  </r>
  <r>
    <s v="C133"/>
    <x v="0"/>
    <d v="2024-10-12T00:00:00"/>
    <d v="2024-06-11T00:00:00"/>
    <x v="4"/>
    <x v="3"/>
    <x v="0"/>
    <x v="2"/>
    <x v="132"/>
    <n v="421616"/>
    <n v="16114"/>
    <n v="1620"/>
    <n v="232878.47"/>
    <x v="1"/>
    <n v="6"/>
    <n v="3.8219612158931403E-2"/>
    <n v="0.100533697405982"/>
    <n v="40.846234567901234"/>
    <n v="3.519348686507211"/>
    <n v="166707.57"/>
    <d v="2024-11-11T00:00:00"/>
    <n v="17.809999999999999"/>
    <n v="30"/>
    <n v="14.451934342807496"/>
    <n v="2.4482060845477396E-2"/>
    <n v="0.284143484797027"/>
  </r>
  <r>
    <s v="C134"/>
    <x v="1"/>
    <d v="2024-09-29T00:00:00"/>
    <d v="2024-05-27T00:00:00"/>
    <x v="5"/>
    <x v="2"/>
    <x v="1"/>
    <x v="2"/>
    <x v="133"/>
    <n v="1576912"/>
    <n v="35285"/>
    <n v="745"/>
    <n v="192605.04"/>
    <x v="0"/>
    <n v="6"/>
    <n v="2.2376010836368799E-2"/>
    <n v="2.1113787728496501E-2"/>
    <n v="74.333825503355698"/>
    <n v="3.4779624657133521"/>
    <n v="137226.34000000003"/>
    <d v="2024-10-29T00:00:00"/>
    <n v="16.559999999999999"/>
    <n v="30"/>
    <n v="5.4585529261725947"/>
    <n v="1.3452825725414284E-2"/>
    <n v="0.28752466705959501"/>
  </r>
  <r>
    <s v="C135"/>
    <x v="2"/>
    <d v="2024-03-02T00:00:00"/>
    <d v="2024-10-31T00:00:00"/>
    <x v="5"/>
    <x v="3"/>
    <x v="2"/>
    <x v="0"/>
    <x v="134"/>
    <n v="825158"/>
    <n v="17018"/>
    <n v="1359"/>
    <n v="141246.31"/>
    <x v="1"/>
    <n v="6"/>
    <n v="2.0623928992992899E-2"/>
    <n v="7.9856622399812005E-2"/>
    <n v="6.6117512877115532"/>
    <n v="15.719587507247891"/>
    <n v="132260.94"/>
    <d v="2024-10-31T00:00:00"/>
    <n v="64.27"/>
    <n v="243"/>
    <n v="8.2998184275473026"/>
    <n v="0.15124585854561357"/>
    <n v="6.3614900806966204E-2"/>
  </r>
  <r>
    <s v="C136"/>
    <x v="2"/>
    <d v="2024-03-24T00:00:00"/>
    <d v="2024-08-29T00:00:00"/>
    <x v="0"/>
    <x v="1"/>
    <x v="2"/>
    <x v="1"/>
    <x v="135"/>
    <n v="663375"/>
    <n v="22386"/>
    <n v="106"/>
    <n v="53273.9"/>
    <x v="0"/>
    <n v="9"/>
    <n v="3.3745618993781798E-2"/>
    <n v="4.7351022960779102E-3"/>
    <n v="915.15499999999997"/>
    <n v="0.54917905957367985"/>
    <n v="-43732.529999999992"/>
    <d v="2024-08-29T00:00:00"/>
    <n v="20.93"/>
    <n v="158"/>
    <n v="2.3797864736889127"/>
    <n v="1.0927110708022138E-3"/>
    <n v="1.82089972763398"/>
  </r>
  <r>
    <s v="C137"/>
    <x v="0"/>
    <d v="2024-08-04T00:00:00"/>
    <d v="2024-09-11T00:00:00"/>
    <x v="2"/>
    <x v="0"/>
    <x v="1"/>
    <x v="1"/>
    <x v="136"/>
    <n v="1818967"/>
    <n v="18740"/>
    <n v="1807"/>
    <n v="120063.51"/>
    <x v="2"/>
    <n v="9"/>
    <n v="1.0302550843418299E-2"/>
    <n v="9.6424759871931706E-2"/>
    <n v="44.758079690094078"/>
    <n v="1.4845042245806483"/>
    <n v="39185.659999999989"/>
    <d v="2024-09-11T00:00:00"/>
    <n v="12.44"/>
    <n v="38"/>
    <n v="6.4068041622198502"/>
    <n v="2.2342334767801071E-2"/>
    <n v="0.67362556700199805"/>
  </r>
  <r>
    <s v="C138"/>
    <x v="3"/>
    <d v="2024-07-05T00:00:00"/>
    <d v="2024-02-19T00:00:00"/>
    <x v="4"/>
    <x v="3"/>
    <x v="3"/>
    <x v="2"/>
    <x v="137"/>
    <n v="1918388"/>
    <n v="45199"/>
    <n v="1376"/>
    <n v="144609.87"/>
    <x v="2"/>
    <n v="6"/>
    <n v="2.35609271951242E-2"/>
    <n v="3.04431513971548E-2"/>
    <n v="23.850356104651159"/>
    <n v="4.4064072589233563"/>
    <n v="111791.78"/>
    <d v="2024-08-04T00:00:00"/>
    <n v="20.64"/>
    <n v="30"/>
    <n v="3.1994041903581936"/>
    <n v="4.1928095145086143E-2"/>
    <n v="0.22694225504801299"/>
  </r>
  <r>
    <s v="C139"/>
    <x v="3"/>
    <d v="2024-01-19T00:00:00"/>
    <d v="2024-05-22T00:00:00"/>
    <x v="3"/>
    <x v="2"/>
    <x v="1"/>
    <x v="1"/>
    <x v="138"/>
    <n v="966383"/>
    <n v="9210"/>
    <n v="1236"/>
    <n v="217350.78"/>
    <x v="1"/>
    <n v="9"/>
    <n v="9.5303828813213792E-3"/>
    <n v="0.13420195439739399"/>
    <n v="79.366650485436892"/>
    <n v="2.2156679733301203"/>
    <n v="119253.6"/>
    <d v="2024-05-22T00:00:00"/>
    <n v="59.44"/>
    <n v="124"/>
    <n v="23.5994332247557"/>
    <n v="1.2599750573869709E-2"/>
    <n v="0.45133116154448599"/>
  </r>
  <r>
    <s v="C140"/>
    <x v="1"/>
    <d v="2024-06-25T00:00:00"/>
    <d v="2024-06-18T00:00:00"/>
    <x v="3"/>
    <x v="0"/>
    <x v="2"/>
    <x v="0"/>
    <x v="139"/>
    <n v="329215"/>
    <n v="45363"/>
    <n v="68"/>
    <n v="125520.01"/>
    <x v="2"/>
    <n v="7"/>
    <n v="0.13779141290645899"/>
    <n v="1.49901902431497E-3"/>
    <n v="914.39338235294122"/>
    <n v="2.0186962587700781"/>
    <n v="63341.259999999995"/>
    <d v="2024-07-25T00:00:00"/>
    <n v="52.8"/>
    <n v="30"/>
    <n v="2.7670129841500781"/>
    <n v="1.0936212130349999E-3"/>
    <n v="0.49536922439697101"/>
  </r>
  <r>
    <s v="C141"/>
    <x v="4"/>
    <d v="2024-04-09T00:00:00"/>
    <d v="2024-03-17T00:00:00"/>
    <x v="1"/>
    <x v="0"/>
    <x v="1"/>
    <x v="0"/>
    <x v="140"/>
    <n v="1118650"/>
    <n v="46639"/>
    <n v="1443"/>
    <n v="225441.92000000001"/>
    <x v="0"/>
    <n v="6"/>
    <n v="4.1692218298842398E-2"/>
    <n v="3.0939771435922699E-2"/>
    <n v="41.808835758835762"/>
    <n v="3.7368035716801633"/>
    <n v="165111.77000000002"/>
    <d v="2024-05-09T00:00:00"/>
    <n v="18.82"/>
    <n v="30"/>
    <n v="4.8337640172387921"/>
    <n v="2.3918389064174379E-2"/>
    <n v="0.267608393328091"/>
  </r>
  <r>
    <s v="C142"/>
    <x v="1"/>
    <d v="2024-08-20T00:00:00"/>
    <d v="2024-01-31T00:00:00"/>
    <x v="1"/>
    <x v="2"/>
    <x v="3"/>
    <x v="2"/>
    <x v="141"/>
    <n v="796084"/>
    <n v="13743"/>
    <n v="313"/>
    <n v="171843.75"/>
    <x v="2"/>
    <n v="7"/>
    <n v="1.72632536265017E-2"/>
    <n v="2.27752310267045E-2"/>
    <n v="243.02539936102235"/>
    <n v="2.2591118744737368"/>
    <n v="95776.8"/>
    <d v="2024-09-19T00:00:00"/>
    <n v="66.180000000000007"/>
    <n v="30"/>
    <n v="12.504092992796332"/>
    <n v="4.1147962419947164E-3"/>
    <n v="0.44265182760501898"/>
  </r>
  <r>
    <s v="C143"/>
    <x v="0"/>
    <d v="2024-03-16T00:00:00"/>
    <d v="2024-04-29T00:00:00"/>
    <x v="3"/>
    <x v="3"/>
    <x v="1"/>
    <x v="0"/>
    <x v="142"/>
    <n v="1690707"/>
    <n v="43092"/>
    <n v="843"/>
    <n v="42879.78"/>
    <x v="1"/>
    <n v="7"/>
    <n v="2.54875623038173E-2"/>
    <n v="1.95627958785854E-2"/>
    <n v="97.411779359430611"/>
    <n v="0.52217190040737649"/>
    <n v="-39238.350000000006"/>
    <d v="2024-04-29T00:00:00"/>
    <n v="72.03"/>
    <n v="44"/>
    <n v="0.99507518796992478"/>
    <n v="1.0265698938833605E-2"/>
    <n v="1.91507815571815"/>
  </r>
  <r>
    <s v="C144"/>
    <x v="0"/>
    <d v="2024-09-21T00:00:00"/>
    <d v="2024-06-20T00:00:00"/>
    <x v="1"/>
    <x v="1"/>
    <x v="3"/>
    <x v="2"/>
    <x v="143"/>
    <n v="1138477"/>
    <n v="45299"/>
    <n v="162"/>
    <n v="248795.53"/>
    <x v="1"/>
    <n v="6"/>
    <n v="3.9789121782873103E-2"/>
    <n v="3.5762378860460498E-3"/>
    <n v="415.83623456790122"/>
    <n v="3.6932204288042523"/>
    <n v="181430.06"/>
    <d v="2024-10-21T00:00:00"/>
    <n v="48.69"/>
    <n v="30"/>
    <n v="5.4922962979315217"/>
    <n v="2.4047928411989111E-3"/>
    <n v="0.27076640002334401"/>
  </r>
  <r>
    <s v="C145"/>
    <x v="0"/>
    <d v="2024-10-10T00:00:00"/>
    <d v="2024-03-08T00:00:00"/>
    <x v="2"/>
    <x v="1"/>
    <x v="3"/>
    <x v="0"/>
    <x v="144"/>
    <n v="323349"/>
    <n v="7588"/>
    <n v="1561"/>
    <n v="136535.84"/>
    <x v="1"/>
    <n v="5"/>
    <n v="2.3466904180931399E-2"/>
    <n v="0.205719557195572"/>
    <n v="10.998782831518257"/>
    <n v="7.9524168418845491"/>
    <n v="119366.73999999999"/>
    <d v="2024-11-09T00:00:00"/>
    <n v="12.13"/>
    <n v="30"/>
    <n v="17.993653136531364"/>
    <n v="9.0919151265937068E-2"/>
    <n v="0.12574793548712199"/>
  </r>
  <r>
    <s v="C146"/>
    <x v="0"/>
    <d v="2024-07-24T00:00:00"/>
    <d v="2024-11-18T00:00:00"/>
    <x v="5"/>
    <x v="3"/>
    <x v="1"/>
    <x v="2"/>
    <x v="145"/>
    <n v="1890914"/>
    <n v="4311"/>
    <n v="1400"/>
    <n v="104045.99"/>
    <x v="0"/>
    <n v="6"/>
    <n v="2.2798498503898098E-3"/>
    <n v="0.32475063790303899"/>
    <n v="26.525292857142858"/>
    <n v="2.8017999531983087"/>
    <n v="66910.58"/>
    <d v="2024-11-18T00:00:00"/>
    <n v="27.95"/>
    <n v="117"/>
    <n v="24.135001159823709"/>
    <n v="3.7699866515544057E-2"/>
    <n v="0.35691341876798899"/>
  </r>
  <r>
    <s v="C147"/>
    <x v="0"/>
    <d v="2024-08-10T00:00:00"/>
    <d v="2024-06-17T00:00:00"/>
    <x v="1"/>
    <x v="0"/>
    <x v="1"/>
    <x v="1"/>
    <x v="146"/>
    <n v="445807"/>
    <n v="23432"/>
    <n v="591"/>
    <n v="168187.3"/>
    <x v="0"/>
    <n v="6"/>
    <n v="5.2560861538737597E-2"/>
    <n v="2.5221918743598502E-2"/>
    <n v="157.64458544839255"/>
    <n v="1.8052055454692304"/>
    <n v="75019.349999999991"/>
    <d v="2024-09-09T00:00:00"/>
    <n v="51.64"/>
    <n v="30"/>
    <n v="7.1776758279276196"/>
    <n v="6.3433831054563296E-3"/>
    <n v="0.553953538703576"/>
  </r>
  <r>
    <s v="C148"/>
    <x v="2"/>
    <d v="2024-02-21T00:00:00"/>
    <d v="2024-10-15T00:00:00"/>
    <x v="0"/>
    <x v="0"/>
    <x v="0"/>
    <x v="0"/>
    <x v="147"/>
    <n v="1685851"/>
    <n v="34755"/>
    <n v="696"/>
    <n v="36134.400000000001"/>
    <x v="0"/>
    <n v="9"/>
    <n v="2.0615700913069999E-2"/>
    <n v="2.0025895554596499E-2"/>
    <n v="37.842643678160918"/>
    <n v="1.3719242720156972"/>
    <n v="9795.9200000000019"/>
    <d v="2024-10-15T00:00:00"/>
    <n v="48.58"/>
    <n v="237"/>
    <n v="1.0396892533448425"/>
    <n v="2.6425215122512766E-2"/>
    <n v="0.72890320580942303"/>
  </r>
  <r>
    <s v="C149"/>
    <x v="3"/>
    <d v="2024-05-23T00:00:00"/>
    <d v="2024-07-09T00:00:00"/>
    <x v="1"/>
    <x v="0"/>
    <x v="2"/>
    <x v="0"/>
    <x v="148"/>
    <n v="1441405"/>
    <n v="4321"/>
    <n v="628"/>
    <n v="162769.28"/>
    <x v="0"/>
    <n v="6"/>
    <n v="2.99776953736112E-3"/>
    <n v="0.14533672760935001"/>
    <n v="64.260939490445864"/>
    <n v="4.0333483084369135"/>
    <n v="122413.41"/>
    <d v="2024-07-09T00:00:00"/>
    <n v="66.63"/>
    <n v="47"/>
    <n v="37.669354316130523"/>
    <n v="1.5561552755522306E-2"/>
    <n v="0.24793296376318699"/>
  </r>
  <r>
    <s v="C150"/>
    <x v="0"/>
    <d v="2024-03-09T00:00:00"/>
    <d v="2024-07-26T00:00:00"/>
    <x v="4"/>
    <x v="0"/>
    <x v="3"/>
    <x v="2"/>
    <x v="149"/>
    <n v="1471174"/>
    <n v="16812"/>
    <n v="1138"/>
    <n v="129576.64"/>
    <x v="0"/>
    <n v="5"/>
    <n v="1.1427608155119701E-2"/>
    <n v="6.7689745419938094E-2"/>
    <n v="40.463356766256595"/>
    <n v="2.8139899624950866"/>
    <n v="83529.34"/>
    <d v="2024-07-26T00:00:00"/>
    <n v="31.97"/>
    <n v="139"/>
    <n v="7.7073899595527005"/>
    <n v="2.4713718285328347E-2"/>
    <n v="0.35536729459878003"/>
  </r>
  <r>
    <s v="C151"/>
    <x v="4"/>
    <d v="2024-04-08T00:00:00"/>
    <d v="2024-02-09T00:00:00"/>
    <x v="2"/>
    <x v="3"/>
    <x v="0"/>
    <x v="2"/>
    <x v="150"/>
    <n v="1466207"/>
    <n v="38383"/>
    <n v="1365"/>
    <n v="107601.78"/>
    <x v="2"/>
    <n v="9"/>
    <n v="2.6178431831248902E-2"/>
    <n v="3.5562618867727901E-2"/>
    <n v="34.244300366300365"/>
    <n v="2.3019638892876375"/>
    <n v="60858.31"/>
    <d v="2024-05-08T00:00:00"/>
    <n v="58.8"/>
    <n v="30"/>
    <n v="2.8033707630982465"/>
    <n v="2.9201939864541508E-2"/>
    <n v="0.43441167980678402"/>
  </r>
  <r>
    <s v="C152"/>
    <x v="4"/>
    <d v="2024-01-25T00:00:00"/>
    <d v="2024-10-17T00:00:00"/>
    <x v="4"/>
    <x v="0"/>
    <x v="1"/>
    <x v="0"/>
    <x v="151"/>
    <n v="628688"/>
    <n v="49280"/>
    <n v="74"/>
    <n v="238724.81"/>
    <x v="0"/>
    <n v="4"/>
    <n v="7.8385463059577998E-2"/>
    <n v="1.5016233766233799E-3"/>
    <n v="854.44945945945949"/>
    <n v="3.7755433164961918"/>
    <n v="175495.55"/>
    <d v="2024-10-17T00:00:00"/>
    <n v="52.68"/>
    <n v="266"/>
    <n v="4.8442534496753247"/>
    <n v="1.1703442361969759E-3"/>
    <n v="0.26486254193688502"/>
  </r>
  <r>
    <s v="C153"/>
    <x v="4"/>
    <d v="2024-02-22T00:00:00"/>
    <d v="2024-06-16T00:00:00"/>
    <x v="4"/>
    <x v="2"/>
    <x v="2"/>
    <x v="2"/>
    <x v="152"/>
    <n v="1254798"/>
    <n v="14146"/>
    <n v="1622"/>
    <n v="135409.53"/>
    <x v="0"/>
    <n v="4"/>
    <n v="1.1273527691309701E-2"/>
    <n v="0.11466138837834"/>
    <n v="58.318249075215782"/>
    <n v="1.4315084118986556"/>
    <n v="40817.33"/>
    <d v="2024-06-16T00:00:00"/>
    <n v="29.42"/>
    <n v="115"/>
    <n v="9.5722840378905705"/>
    <n v="1.7147291214286167E-2"/>
    <n v="0.69856383077321105"/>
  </r>
  <r>
    <s v="C154"/>
    <x v="4"/>
    <d v="2024-05-30T00:00:00"/>
    <d v="2024-07-20T00:00:00"/>
    <x v="0"/>
    <x v="0"/>
    <x v="0"/>
    <x v="0"/>
    <x v="153"/>
    <n v="81852"/>
    <n v="14654"/>
    <n v="50"/>
    <n v="62588.2"/>
    <x v="2"/>
    <n v="7"/>
    <n v="0.17903044519376399"/>
    <n v="3.4120376688958599E-3"/>
    <n v="557.31619999999998"/>
    <n v="2.2460570857261999"/>
    <n v="34722.39"/>
    <d v="2024-07-20T00:00:00"/>
    <n v="56.11"/>
    <n v="51"/>
    <n v="4.2710659205677626"/>
    <n v="1.7943135333227348E-3"/>
    <n v="0.445224658961274"/>
  </r>
  <r>
    <s v="C155"/>
    <x v="2"/>
    <d v="2024-05-23T00:00:00"/>
    <d v="2024-02-12T00:00:00"/>
    <x v="2"/>
    <x v="1"/>
    <x v="3"/>
    <x v="1"/>
    <x v="154"/>
    <n v="1010374"/>
    <n v="36820"/>
    <n v="960"/>
    <n v="120151.24"/>
    <x v="0"/>
    <n v="7"/>
    <n v="3.64419511982692E-2"/>
    <n v="2.60727865290603E-2"/>
    <n v="17.231906250000002"/>
    <n v="7.2631280515855092"/>
    <n v="103608.61"/>
    <d v="2024-06-22T00:00:00"/>
    <n v="61.91"/>
    <n v="30"/>
    <n v="3.263205866376969"/>
    <n v="5.8031884893756311E-2"/>
    <n v="0.13768172513242499"/>
  </r>
  <r>
    <s v="C156"/>
    <x v="4"/>
    <d v="2024-02-26T00:00:00"/>
    <d v="2024-07-16T00:00:00"/>
    <x v="2"/>
    <x v="0"/>
    <x v="0"/>
    <x v="2"/>
    <x v="155"/>
    <n v="1611588"/>
    <n v="1726"/>
    <n v="1622"/>
    <n v="230652.98"/>
    <x v="1"/>
    <n v="5"/>
    <n v="1.07099333080167E-3"/>
    <n v="0.93974507531865603"/>
    <n v="14.648397040690506"/>
    <n v="9.7077395758363956"/>
    <n v="206893.28"/>
    <d v="2024-07-16T00:00:00"/>
    <n v="42.48"/>
    <n v="141"/>
    <n v="133.63440324449596"/>
    <n v="6.8266855221235961E-2"/>
    <n v="0.103010591929053"/>
  </r>
  <r>
    <s v="C157"/>
    <x v="0"/>
    <d v="2024-02-08T00:00:00"/>
    <d v="2024-06-08T00:00:00"/>
    <x v="2"/>
    <x v="3"/>
    <x v="3"/>
    <x v="0"/>
    <x v="156"/>
    <n v="1937764"/>
    <n v="4760"/>
    <n v="190"/>
    <n v="52262.91"/>
    <x v="0"/>
    <n v="8"/>
    <n v="2.4564394838587199E-3"/>
    <n v="3.9915966386554598E-2"/>
    <n v="469.77826315789468"/>
    <n v="0.58552719216804083"/>
    <n v="-36994.959999999992"/>
    <d v="2024-06-08T00:00:00"/>
    <n v="40.369999999999997"/>
    <n v="121"/>
    <n v="10.979602941176472"/>
    <n v="2.1286638365894234E-3"/>
    <n v="1.70786261231914"/>
  </r>
  <r>
    <s v="C158"/>
    <x v="1"/>
    <d v="2024-04-18T00:00:00"/>
    <d v="2024-04-23T00:00:00"/>
    <x v="2"/>
    <x v="1"/>
    <x v="1"/>
    <x v="1"/>
    <x v="157"/>
    <n v="427501"/>
    <n v="23190"/>
    <n v="1817"/>
    <n v="61349.69"/>
    <x v="0"/>
    <n v="4"/>
    <n v="5.42454871450593E-2"/>
    <n v="7.8352738249245393E-2"/>
    <n v="36.517352779306549"/>
    <n v="0.9246090888251649"/>
    <n v="-5002.3399999999965"/>
    <d v="2024-04-23T00:00:00"/>
    <n v="20.84"/>
    <n v="5"/>
    <n v="2.6455235015092713"/>
    <n v="2.7384241296008579E-2"/>
    <n v="1.0815381463215199"/>
  </r>
  <r>
    <s v="C159"/>
    <x v="4"/>
    <d v="2024-06-29T00:00:00"/>
    <d v="2024-05-10T00:00:00"/>
    <x v="2"/>
    <x v="3"/>
    <x v="2"/>
    <x v="1"/>
    <x v="158"/>
    <n v="1741916"/>
    <n v="2875"/>
    <n v="697"/>
    <n v="13127.1"/>
    <x v="1"/>
    <n v="7"/>
    <n v="1.6504814239033301E-3"/>
    <n v="0.242434782608696"/>
    <n v="46.142238163558105"/>
    <n v="0.40816650156057904"/>
    <n v="-19034.04"/>
    <d v="2024-07-29T00:00:00"/>
    <n v="25.27"/>
    <n v="30"/>
    <n v="4.5659478260869566"/>
    <n v="2.1672117344099122E-2"/>
    <n v="2.4499805745366499"/>
  </r>
  <r>
    <s v="C160"/>
    <x v="2"/>
    <d v="2024-02-11T00:00:00"/>
    <d v="2024-10-29T00:00:00"/>
    <x v="0"/>
    <x v="3"/>
    <x v="2"/>
    <x v="0"/>
    <x v="159"/>
    <n v="1155057"/>
    <n v="24377"/>
    <n v="1974"/>
    <n v="13405.61"/>
    <x v="1"/>
    <n v="4"/>
    <n v="2.1104586180595401E-2"/>
    <n v="8.0977971038273797E-2"/>
    <n v="41.80089159067883"/>
    <n v="0.16246278250634794"/>
    <n v="-69109.350000000006"/>
    <d v="2024-10-29T00:00:00"/>
    <n v="19.079999999999998"/>
    <n v="261"/>
    <n v="0.54992862124133401"/>
    <n v="2.3922934701780137E-2"/>
    <n v="6.1552558965985096"/>
  </r>
  <r>
    <s v="C161"/>
    <x v="2"/>
    <d v="2024-07-04T00:00:00"/>
    <d v="2024-10-21T00:00:00"/>
    <x v="1"/>
    <x v="1"/>
    <x v="2"/>
    <x v="2"/>
    <x v="160"/>
    <n v="1886291"/>
    <n v="47737"/>
    <n v="237"/>
    <n v="209053.99"/>
    <x v="1"/>
    <n v="5"/>
    <n v="2.5307335930670301E-2"/>
    <n v="4.9647024320757498E-3"/>
    <n v="366.37194092827002"/>
    <n v="2.4076198186920097"/>
    <n v="122223.84"/>
    <d v="2024-10-21T00:00:00"/>
    <n v="36.58"/>
    <n v="109"/>
    <n v="4.3792862978402498"/>
    <n v="2.7294666656685496E-3"/>
    <n v="0.41534796824495002"/>
  </r>
  <r>
    <s v="C162"/>
    <x v="4"/>
    <d v="2024-08-10T00:00:00"/>
    <d v="2024-03-08T00:00:00"/>
    <x v="4"/>
    <x v="3"/>
    <x v="1"/>
    <x v="0"/>
    <x v="161"/>
    <n v="83691"/>
    <n v="5033"/>
    <n v="1201"/>
    <n v="185709.43"/>
    <x v="1"/>
    <n v="5"/>
    <n v="6.0137888183914599E-2"/>
    <n v="0.23862507450824599"/>
    <n v="71.123114071606992"/>
    <n v="2.1741033537558332"/>
    <n v="100290.56999999999"/>
    <d v="2024-09-09T00:00:00"/>
    <n v="48.27"/>
    <n v="30"/>
    <n v="36.898356844824157"/>
    <n v="1.4060126768257034E-2"/>
    <n v="0.459959733870272"/>
  </r>
  <r>
    <s v="C163"/>
    <x v="1"/>
    <d v="2024-05-01T00:00:00"/>
    <d v="2024-05-03T00:00:00"/>
    <x v="2"/>
    <x v="3"/>
    <x v="3"/>
    <x v="1"/>
    <x v="162"/>
    <n v="444341"/>
    <n v="39211"/>
    <n v="250"/>
    <n v="95209.85"/>
    <x v="0"/>
    <n v="8"/>
    <n v="8.8245289091035906E-2"/>
    <n v="6.3757619035474701E-3"/>
    <n v="369.19208000000003"/>
    <n v="1.0315481307182972"/>
    <n v="2911.8300000000017"/>
    <d v="2024-05-03T00:00:00"/>
    <n v="74.45"/>
    <n v="2"/>
    <n v="2.428141337889878"/>
    <n v="2.7086171512671667E-3"/>
    <n v="0.96941671476218105"/>
  </r>
  <r>
    <s v="C164"/>
    <x v="4"/>
    <d v="2024-05-12T00:00:00"/>
    <d v="2024-05-04T00:00:00"/>
    <x v="1"/>
    <x v="0"/>
    <x v="1"/>
    <x v="0"/>
    <x v="163"/>
    <n v="1296713"/>
    <n v="18373"/>
    <n v="1200"/>
    <n v="177594.68"/>
    <x v="1"/>
    <n v="8"/>
    <n v="1.4168902447958801E-2"/>
    <n v="6.5313231372122096E-2"/>
    <n v="24.135750000000002"/>
    <n v="6.1317989565961968"/>
    <n v="148631.78"/>
    <d v="2024-06-11T00:00:00"/>
    <n v="29.15"/>
    <n v="30"/>
    <n v="9.6660686877483268"/>
    <n v="4.1432315134188907E-2"/>
    <n v="0.163084277074066"/>
  </r>
  <r>
    <s v="C165"/>
    <x v="2"/>
    <d v="2024-06-11T00:00:00"/>
    <d v="2024-04-08T00:00:00"/>
    <x v="1"/>
    <x v="2"/>
    <x v="2"/>
    <x v="2"/>
    <x v="164"/>
    <n v="1096238"/>
    <n v="4744"/>
    <n v="306"/>
    <n v="104849.42"/>
    <x v="1"/>
    <n v="9"/>
    <n v="4.3275274164916704E-3"/>
    <n v="6.4502529510961207E-2"/>
    <n v="250.74830065359475"/>
    <n v="1.3664904707452126"/>
    <n v="28120.440000000002"/>
    <d v="2024-07-11T00:00:00"/>
    <n v="54.52"/>
    <n v="30"/>
    <n v="22.101479763912309"/>
    <n v="3.9880629196426178E-3"/>
    <n v="0.73180166375741496"/>
  </r>
  <r>
    <s v="C166"/>
    <x v="3"/>
    <d v="2024-08-02T00:00:00"/>
    <d v="2024-09-22T00:00:00"/>
    <x v="4"/>
    <x v="3"/>
    <x v="1"/>
    <x v="1"/>
    <x v="165"/>
    <n v="1649034"/>
    <n v="25995"/>
    <n v="1749"/>
    <n v="238695.23"/>
    <x v="2"/>
    <n v="5"/>
    <n v="1.5763774427937801E-2"/>
    <n v="6.7282169648009205E-2"/>
    <n v="27.873785020011436"/>
    <n v="4.8961868670034105"/>
    <n v="189943.98"/>
    <d v="2024-09-22T00:00:00"/>
    <n v="34.04"/>
    <n v="51"/>
    <n v="9.1823516060780932"/>
    <n v="3.5876003179405654E-2"/>
    <n v="0.20424057070599999"/>
  </r>
  <r>
    <s v="C167"/>
    <x v="0"/>
    <d v="2024-08-08T00:00:00"/>
    <d v="2024-06-15T00:00:00"/>
    <x v="0"/>
    <x v="3"/>
    <x v="1"/>
    <x v="0"/>
    <x v="166"/>
    <n v="582726"/>
    <n v="17977"/>
    <n v="596"/>
    <n v="242092.64"/>
    <x v="1"/>
    <n v="7"/>
    <n v="3.0849833369370899E-2"/>
    <n v="3.3153473883295301E-2"/>
    <n v="142.60043624161074"/>
    <n v="2.8484885138062355"/>
    <n v="157102.78000000003"/>
    <d v="2024-09-07T00:00:00"/>
    <n v="56.11"/>
    <n v="30"/>
    <n v="13.466798687211437"/>
    <n v="7.0126012679630253E-3"/>
    <n v="0.35106337805230298"/>
  </r>
  <r>
    <s v="C168"/>
    <x v="2"/>
    <d v="2024-08-22T00:00:00"/>
    <d v="2024-04-15T00:00:00"/>
    <x v="3"/>
    <x v="3"/>
    <x v="1"/>
    <x v="2"/>
    <x v="167"/>
    <n v="1905103"/>
    <n v="33402"/>
    <n v="243"/>
    <n v="104270.51"/>
    <x v="1"/>
    <n v="4"/>
    <n v="1.7532910294089099E-2"/>
    <n v="7.2750134722471696E-3"/>
    <n v="305.37699588477369"/>
    <n v="1.405137763334021"/>
    <n v="30063.899999999994"/>
    <d v="2024-09-21T00:00:00"/>
    <n v="36.08"/>
    <n v="30"/>
    <n v="3.1216846296628944"/>
    <n v="3.2746408978930582E-3"/>
    <n v="0.71167399104502305"/>
  </r>
  <r>
    <s v="C169"/>
    <x v="4"/>
    <d v="2024-05-25T00:00:00"/>
    <d v="2024-03-05T00:00:00"/>
    <x v="3"/>
    <x v="0"/>
    <x v="3"/>
    <x v="1"/>
    <x v="168"/>
    <n v="1770090"/>
    <n v="35542"/>
    <n v="752"/>
    <n v="215013.26"/>
    <x v="2"/>
    <n v="6"/>
    <n v="2.00792050121745E-2"/>
    <n v="2.1158066512857999E-2"/>
    <n v="104.73738031914893"/>
    <n v="2.7298934480376515"/>
    <n v="136250.75"/>
    <d v="2024-06-24T00:00:00"/>
    <n v="31.97"/>
    <n v="30"/>
    <n v="6.0495543300883465"/>
    <n v="9.5476896305107598E-3"/>
    <n v="0.36631466357005099"/>
  </r>
  <r>
    <s v="C170"/>
    <x v="0"/>
    <d v="2024-08-26T00:00:00"/>
    <d v="2024-01-31T00:00:00"/>
    <x v="1"/>
    <x v="2"/>
    <x v="0"/>
    <x v="2"/>
    <x v="169"/>
    <n v="1499796"/>
    <n v="11651"/>
    <n v="1177"/>
    <n v="195541.37"/>
    <x v="2"/>
    <n v="8"/>
    <n v="7.7683898343507999E-3"/>
    <n v="0.10102137155609001"/>
    <n v="57.209320305862356"/>
    <n v="2.9039919139079506"/>
    <n v="128206"/>
    <d v="2024-09-25T00:00:00"/>
    <n v="33.799999999999997"/>
    <n v="30"/>
    <n v="16.783226332503649"/>
    <n v="1.7479669303072071E-2"/>
    <n v="0.34435357592104399"/>
  </r>
  <r>
    <s v="C171"/>
    <x v="4"/>
    <d v="2024-03-16T00:00:00"/>
    <d v="2024-11-21T00:00:00"/>
    <x v="5"/>
    <x v="1"/>
    <x v="0"/>
    <x v="1"/>
    <x v="170"/>
    <n v="846184"/>
    <n v="34703"/>
    <n v="1608"/>
    <n v="84399.98"/>
    <x v="0"/>
    <n v="6"/>
    <n v="4.1011174874495397E-2"/>
    <n v="4.6336051638186902E-2"/>
    <n v="13.591871890547264"/>
    <n v="3.8616866149060223"/>
    <n v="62544.25"/>
    <d v="2024-11-21T00:00:00"/>
    <n v="45.11"/>
    <n v="250"/>
    <n v="2.4320658156355357"/>
    <n v="7.3573383272944895E-2"/>
    <n v="0.25895420828298799"/>
  </r>
  <r>
    <s v="C172"/>
    <x v="4"/>
    <d v="2024-01-09T00:00:00"/>
    <d v="2024-03-30T00:00:00"/>
    <x v="5"/>
    <x v="0"/>
    <x v="1"/>
    <x v="0"/>
    <x v="171"/>
    <n v="1154002"/>
    <n v="14395"/>
    <n v="1338"/>
    <n v="65689.56"/>
    <x v="2"/>
    <n v="7"/>
    <n v="1.24739818475185E-2"/>
    <n v="9.2948940604376501E-2"/>
    <n v="42.434648729446934"/>
    <n v="1.156963420055388"/>
    <n v="8912"/>
    <d v="2024-03-30T00:00:00"/>
    <n v="23.66"/>
    <n v="81"/>
    <n v="4.563359499826328"/>
    <n v="2.3565648118728598E-2"/>
    <n v="0.86433156197118699"/>
  </r>
  <r>
    <s v="C173"/>
    <x v="3"/>
    <d v="2024-03-14T00:00:00"/>
    <d v="2024-10-23T00:00:00"/>
    <x v="4"/>
    <x v="0"/>
    <x v="0"/>
    <x v="2"/>
    <x v="172"/>
    <n v="289968"/>
    <n v="30808"/>
    <n v="851"/>
    <n v="119976.32000000001"/>
    <x v="0"/>
    <n v="8"/>
    <n v="0.106246206477956"/>
    <n v="2.7622695403791201E-2"/>
    <n v="115.79745005875441"/>
    <n v="1.2174944235360521"/>
    <n v="21432.690000000002"/>
    <d v="2024-10-23T00:00:00"/>
    <n v="14.97"/>
    <n v="223"/>
    <n v="3.8943235523240718"/>
    <n v="8.635768745275569E-3"/>
    <n v="0.82135899817563995"/>
  </r>
  <r>
    <s v="C174"/>
    <x v="0"/>
    <d v="2024-09-09T00:00:00"/>
    <d v="2024-09-15T00:00:00"/>
    <x v="3"/>
    <x v="2"/>
    <x v="0"/>
    <x v="1"/>
    <x v="173"/>
    <n v="338963"/>
    <n v="37576"/>
    <n v="991"/>
    <n v="197523.72"/>
    <x v="2"/>
    <n v="6"/>
    <n v="0.110855757118034"/>
    <n v="2.63732169469874E-2"/>
    <n v="94.906024217961644"/>
    <n v="2.1001572855489212"/>
    <n v="103471.85"/>
    <d v="2024-09-15T00:00:00"/>
    <n v="42.55"/>
    <n v="6"/>
    <n v="5.2566457313178621"/>
    <n v="1.0536738929273815E-2"/>
    <n v="0.47615481320420699"/>
  </r>
  <r>
    <s v="C175"/>
    <x v="0"/>
    <d v="2024-08-17T00:00:00"/>
    <d v="2024-10-26T00:00:00"/>
    <x v="1"/>
    <x v="2"/>
    <x v="1"/>
    <x v="2"/>
    <x v="174"/>
    <n v="545384"/>
    <n v="17715"/>
    <n v="1457"/>
    <n v="240440.27"/>
    <x v="2"/>
    <n v="7"/>
    <n v="3.2481700966658401E-2"/>
    <n v="8.2246683601467696E-2"/>
    <n v="6.2467398764584763"/>
    <n v="26.417653134098774"/>
    <n v="231338.77"/>
    <d v="2024-10-26T00:00:00"/>
    <n v="27.48"/>
    <n v="70"/>
    <n v="13.572693762348292"/>
    <n v="0.16008350271933197"/>
    <n v="3.7853476042095602E-2"/>
  </r>
  <r>
    <s v="C176"/>
    <x v="3"/>
    <d v="2024-01-07T00:00:00"/>
    <d v="2024-11-11T00:00:00"/>
    <x v="0"/>
    <x v="0"/>
    <x v="1"/>
    <x v="2"/>
    <x v="175"/>
    <n v="928483"/>
    <n v="45409"/>
    <n v="1333"/>
    <n v="193258.98"/>
    <x v="0"/>
    <n v="4"/>
    <n v="4.8906657418606503E-2"/>
    <n v="2.93554141249532E-2"/>
    <n v="15.496931732933232"/>
    <n v="9.355431295598045"/>
    <n v="172601.57"/>
    <d v="2024-11-11T00:00:00"/>
    <n v="43.82"/>
    <n v="309"/>
    <n v="4.255962033958026"/>
    <n v="6.4528902703678725E-2"/>
    <n v="0.106889780749127"/>
  </r>
  <r>
    <s v="C177"/>
    <x v="2"/>
    <d v="2024-06-22T00:00:00"/>
    <d v="2024-11-16T00:00:00"/>
    <x v="3"/>
    <x v="1"/>
    <x v="2"/>
    <x v="0"/>
    <x v="176"/>
    <n v="571121"/>
    <n v="25306"/>
    <n v="463"/>
    <n v="215249.68"/>
    <x v="2"/>
    <n v="7"/>
    <n v="4.4309349507372302E-2"/>
    <n v="1.8296056271240001E-2"/>
    <n v="37.827710583153348"/>
    <n v="12.289988198168004"/>
    <n v="197735.44999999998"/>
    <d v="2024-11-16T00:00:00"/>
    <n v="36.22"/>
    <n v="147"/>
    <n v="8.5058752864933211"/>
    <n v="2.6435646899692421E-2"/>
    <n v="8.1367043147288307E-2"/>
  </r>
  <r>
    <s v="C178"/>
    <x v="4"/>
    <d v="2024-05-20T00:00:00"/>
    <d v="2024-08-30T00:00:00"/>
    <x v="1"/>
    <x v="0"/>
    <x v="0"/>
    <x v="2"/>
    <x v="177"/>
    <n v="1253865"/>
    <n v="20086"/>
    <n v="1431"/>
    <n v="154735.43"/>
    <x v="0"/>
    <n v="9"/>
    <n v="1.6019268422039101E-2"/>
    <n v="7.1243652295130896E-2"/>
    <n v="51.689790356394127"/>
    <n v="2.0919213947527915"/>
    <n v="80767.34"/>
    <d v="2024-08-30T00:00:00"/>
    <n v="38.130000000000003"/>
    <n v="102"/>
    <n v="7.7036458229612661"/>
    <n v="1.9346180224472473E-2"/>
    <n v="0.47802943385364299"/>
  </r>
  <r>
    <s v="C179"/>
    <x v="1"/>
    <d v="2024-06-16T00:00:00"/>
    <d v="2024-07-13T00:00:00"/>
    <x v="1"/>
    <x v="2"/>
    <x v="3"/>
    <x v="1"/>
    <x v="178"/>
    <n v="1360077"/>
    <n v="15376"/>
    <n v="1148"/>
    <n v="210497.88"/>
    <x v="2"/>
    <n v="8"/>
    <n v="1.1305242276724E-2"/>
    <n v="7.4661810613943794E-2"/>
    <n v="72.029277003484324"/>
    <n v="2.5456388051654857"/>
    <n v="127808.27"/>
    <d v="2024-07-13T00:00:00"/>
    <n v="72.27"/>
    <n v="27"/>
    <n v="13.690028616024975"/>
    <n v="1.3883243614282375E-2"/>
    <n v="0.39282870687343702"/>
  </r>
  <r>
    <s v="C180"/>
    <x v="4"/>
    <d v="2024-06-18T00:00:00"/>
    <d v="2024-02-04T00:00:00"/>
    <x v="2"/>
    <x v="1"/>
    <x v="1"/>
    <x v="1"/>
    <x v="179"/>
    <n v="569165"/>
    <n v="6889"/>
    <n v="1428"/>
    <n v="198261.01"/>
    <x v="1"/>
    <n v="5"/>
    <n v="1.21036957648485E-2"/>
    <n v="0.20728697924226999"/>
    <n v="17.705588235294119"/>
    <n v="7.8414927791080213"/>
    <n v="172977.43"/>
    <d v="2024-07-18T00:00:00"/>
    <n v="40.67"/>
    <n v="30"/>
    <n v="28.779359849034694"/>
    <n v="5.6479343510689541E-2"/>
    <n v="0.127526738615929"/>
  </r>
  <r>
    <s v="C181"/>
    <x v="4"/>
    <d v="2024-10-09T00:00:00"/>
    <d v="2024-04-17T00:00:00"/>
    <x v="0"/>
    <x v="2"/>
    <x v="2"/>
    <x v="1"/>
    <x v="180"/>
    <n v="269780"/>
    <n v="38822"/>
    <n v="1657"/>
    <n v="100476.53"/>
    <x v="2"/>
    <n v="4"/>
    <n v="0.14390243902439001"/>
    <n v="4.2681984441811302E-2"/>
    <n v="32.019318044659023"/>
    <n v="1.8937822501164334"/>
    <n v="47420.52"/>
    <d v="2024-11-08T00:00:00"/>
    <n v="12.22"/>
    <n v="30"/>
    <n v="2.5881337901190045"/>
    <n v="3.1231146103900386E-2"/>
    <n v="0.52804381281877499"/>
  </r>
  <r>
    <s v="C182"/>
    <x v="2"/>
    <d v="2024-05-01T00:00:00"/>
    <d v="2024-04-01T00:00:00"/>
    <x v="2"/>
    <x v="1"/>
    <x v="3"/>
    <x v="1"/>
    <x v="181"/>
    <n v="1393714"/>
    <n v="37636"/>
    <n v="1844"/>
    <n v="142477.67000000001"/>
    <x v="0"/>
    <n v="6"/>
    <n v="2.7004105576897398E-2"/>
    <n v="4.8995642469975599E-2"/>
    <n v="46.02320498915401"/>
    <n v="1.6788389192050273"/>
    <n v="57610.880000000019"/>
    <d v="2024-05-31T00:00:00"/>
    <n v="51.73"/>
    <n v="30"/>
    <n v="3.785675151450739"/>
    <n v="2.1728169523084356E-2"/>
    <n v="0.59564976041508799"/>
  </r>
  <r>
    <s v="C183"/>
    <x v="4"/>
    <d v="2024-07-12T00:00:00"/>
    <d v="2024-06-10T00:00:00"/>
    <x v="4"/>
    <x v="3"/>
    <x v="0"/>
    <x v="0"/>
    <x v="182"/>
    <n v="1768972"/>
    <n v="21584"/>
    <n v="959"/>
    <n v="203140.75"/>
    <x v="2"/>
    <n v="8"/>
    <n v="1.2201436766664501E-2"/>
    <n v="4.4431060044477402E-2"/>
    <n v="77.806204379562033"/>
    <n v="2.7224769704681897"/>
    <n v="128524.6"/>
    <d v="2024-08-11T00:00:00"/>
    <n v="49.74"/>
    <n v="30"/>
    <n v="9.4116359340252043"/>
    <n v="1.2852445482646854E-2"/>
    <n v="0.36731256530262901"/>
  </r>
  <r>
    <s v="C184"/>
    <x v="3"/>
    <d v="2024-01-05T00:00:00"/>
    <d v="2024-04-28T00:00:00"/>
    <x v="2"/>
    <x v="2"/>
    <x v="2"/>
    <x v="2"/>
    <x v="183"/>
    <n v="1831211"/>
    <n v="35610"/>
    <n v="237"/>
    <n v="21053.62"/>
    <x v="0"/>
    <n v="5"/>
    <n v="1.9446147931614699E-2"/>
    <n v="6.6554338668913197E-3"/>
    <n v="238.44949367088608"/>
    <n v="0.37254782258023134"/>
    <n v="-35458.910000000003"/>
    <d v="2024-04-28T00:00:00"/>
    <n v="36.99"/>
    <n v="114"/>
    <n v="0.59122774501544506"/>
    <n v="4.1937602156548294E-3"/>
    <n v="2.6842191509108599"/>
  </r>
  <r>
    <s v="C185"/>
    <x v="3"/>
    <d v="2024-01-29T00:00:00"/>
    <d v="2024-09-23T00:00:00"/>
    <x v="2"/>
    <x v="2"/>
    <x v="1"/>
    <x v="0"/>
    <x v="184"/>
    <n v="1196332"/>
    <n v="11058"/>
    <n v="1758"/>
    <n v="203939.03"/>
    <x v="0"/>
    <n v="7"/>
    <n v="9.2432535450025603E-3"/>
    <n v="0.15897992403689601"/>
    <n v="34.74575085324232"/>
    <n v="3.3387182986829567"/>
    <n v="142856"/>
    <d v="2024-09-23T00:00:00"/>
    <n v="34.08"/>
    <n v="238"/>
    <n v="18.442668656176522"/>
    <n v="2.8780497627573485E-2"/>
    <n v="0.29951613479773798"/>
  </r>
  <r>
    <s v="C186"/>
    <x v="0"/>
    <d v="2024-06-13T00:00:00"/>
    <d v="2024-03-12T00:00:00"/>
    <x v="3"/>
    <x v="0"/>
    <x v="3"/>
    <x v="2"/>
    <x v="185"/>
    <n v="492632"/>
    <n v="10101"/>
    <n v="1363"/>
    <n v="52693.15"/>
    <x v="1"/>
    <n v="5"/>
    <n v="2.05041491417529E-2"/>
    <n v="0.13493713493713499"/>
    <n v="39.100696991929567"/>
    <n v="0.98872110968819338"/>
    <n v="-601.09999999999854"/>
    <d v="2024-07-13T00:00:00"/>
    <n v="70.349999999999994"/>
    <n v="30"/>
    <n v="5.2166270666270664"/>
    <n v="2.55749916735858E-2"/>
    <n v="1.0114075548719299"/>
  </r>
  <r>
    <s v="C187"/>
    <x v="1"/>
    <d v="2024-05-15T00:00:00"/>
    <d v="2024-04-28T00:00:00"/>
    <x v="5"/>
    <x v="2"/>
    <x v="1"/>
    <x v="2"/>
    <x v="186"/>
    <n v="977091"/>
    <n v="13497"/>
    <n v="94"/>
    <n v="133524.07"/>
    <x v="1"/>
    <n v="8"/>
    <n v="1.3813452380586899E-2"/>
    <n v="6.9645106319922998E-3"/>
    <n v="353.90531914893614"/>
    <n v="4.0136973165680212"/>
    <n v="100256.97"/>
    <d v="2024-06-14T00:00:00"/>
    <n v="41.27"/>
    <n v="30"/>
    <n v="9.8928702674668454"/>
    <n v="2.8256144960035591E-3"/>
    <n v="0.24914683921782799"/>
  </r>
  <r>
    <s v="C188"/>
    <x v="4"/>
    <d v="2024-05-24T00:00:00"/>
    <d v="2024-11-21T00:00:00"/>
    <x v="1"/>
    <x v="2"/>
    <x v="0"/>
    <x v="2"/>
    <x v="187"/>
    <n v="1077557"/>
    <n v="5658"/>
    <n v="1646"/>
    <n v="203986.11"/>
    <x v="0"/>
    <n v="8"/>
    <n v="5.2507663167702502E-3"/>
    <n v="0.29091551785083097"/>
    <n v="35.648292831105707"/>
    <n v="3.4764183090879253"/>
    <n v="145309.01999999999"/>
    <d v="2024-11-21T00:00:00"/>
    <n v="29.51"/>
    <n v="181"/>
    <n v="36.052688229056201"/>
    <n v="2.8051834199685093E-2"/>
    <n v="0.28765237986057002"/>
  </r>
  <r>
    <s v="C189"/>
    <x v="4"/>
    <d v="2024-08-04T00:00:00"/>
    <d v="2024-11-20T00:00:00"/>
    <x v="0"/>
    <x v="3"/>
    <x v="3"/>
    <x v="0"/>
    <x v="188"/>
    <n v="1194241"/>
    <n v="12381"/>
    <n v="132"/>
    <n v="70917.06"/>
    <x v="2"/>
    <n v="9"/>
    <n v="1.03672541806888E-2"/>
    <n v="1.0661497455779E-2"/>
    <n v="533.66742424242432"/>
    <n v="1.0067139760462549"/>
    <n v="472.95999999999185"/>
    <d v="2024-11-20T00:00:00"/>
    <n v="50.45"/>
    <n v="108"/>
    <n v="5.7278943542524834"/>
    <n v="1.8738261969419724E-3"/>
    <n v="0.99333080079743896"/>
  </r>
  <r>
    <s v="C190"/>
    <x v="2"/>
    <d v="2024-05-11T00:00:00"/>
    <d v="2024-05-13T00:00:00"/>
    <x v="2"/>
    <x v="2"/>
    <x v="0"/>
    <x v="2"/>
    <x v="189"/>
    <n v="1754581"/>
    <n v="41312"/>
    <n v="1196"/>
    <n v="68993.789999999994"/>
    <x v="0"/>
    <n v="9"/>
    <n v="2.35452224776172E-2"/>
    <n v="2.8950426026336198E-2"/>
    <n v="73.549899665551834"/>
    <n v="0.78432622813806474"/>
    <n v="-18971.89"/>
    <d v="2024-05-13T00:00:00"/>
    <n v="32.229999999999997"/>
    <n v="2"/>
    <n v="1.6700665666150269"/>
    <n v="1.3596211613438334E-2"/>
    <n v="1.27497967570705"/>
  </r>
  <r>
    <s v="C191"/>
    <x v="3"/>
    <d v="2024-10-18T00:00:00"/>
    <d v="2024-02-13T00:00:00"/>
    <x v="0"/>
    <x v="3"/>
    <x v="0"/>
    <x v="0"/>
    <x v="190"/>
    <n v="1260578"/>
    <n v="41486"/>
    <n v="407"/>
    <n v="106663.46"/>
    <x v="0"/>
    <n v="5"/>
    <n v="3.2910299878309797E-2"/>
    <n v="9.8105384949139507E-3"/>
    <n v="160.80511056511057"/>
    <n v="1.6297515817214607"/>
    <n v="41215.780000000006"/>
    <d v="2024-11-17T00:00:00"/>
    <n v="41.78"/>
    <n v="30"/>
    <n v="2.5710712047437689"/>
    <n v="6.2187078289100547E-3"/>
    <n v="0.61359044606278501"/>
  </r>
  <r>
    <s v="C192"/>
    <x v="1"/>
    <d v="2024-03-10T00:00:00"/>
    <d v="2024-11-13T00:00:00"/>
    <x v="5"/>
    <x v="3"/>
    <x v="2"/>
    <x v="1"/>
    <x v="191"/>
    <n v="1360267"/>
    <n v="47619"/>
    <n v="1601"/>
    <n v="224714.27"/>
    <x v="2"/>
    <n v="7"/>
    <n v="3.50070978712268E-2"/>
    <n v="3.3621033621033601E-2"/>
    <n v="48.286414740787009"/>
    <n v="2.9067947023893832"/>
    <n v="147407.71999999997"/>
    <d v="2024-11-13T00:00:00"/>
    <n v="59.36"/>
    <n v="248"/>
    <n v="4.7190043890043887"/>
    <n v="2.0709758746186448E-2"/>
    <n v="0.34402154344715202"/>
  </r>
  <r>
    <s v="C193"/>
    <x v="0"/>
    <d v="2024-09-08T00:00:00"/>
    <d v="2024-07-27T00:00:00"/>
    <x v="5"/>
    <x v="3"/>
    <x v="1"/>
    <x v="1"/>
    <x v="192"/>
    <n v="1704699"/>
    <n v="18154"/>
    <n v="1139"/>
    <n v="10106.27"/>
    <x v="2"/>
    <n v="5"/>
    <n v="1.06493873698524E-2"/>
    <n v="6.2740993720392199E-2"/>
    <n v="17.740834064969274"/>
    <n v="0.50014178388375008"/>
    <n v="-10100.540000000001"/>
    <d v="2024-10-08T00:00:00"/>
    <n v="75.92"/>
    <n v="30"/>
    <n v="0.55669659579156117"/>
    <n v="5.6367135633976856E-2"/>
    <n v="1.9994330252407699"/>
  </r>
  <r>
    <s v="C194"/>
    <x v="3"/>
    <d v="2024-10-01T00:00:00"/>
    <d v="2024-06-03T00:00:00"/>
    <x v="2"/>
    <x v="3"/>
    <x v="3"/>
    <x v="2"/>
    <x v="193"/>
    <n v="1220808"/>
    <n v="20539"/>
    <n v="985"/>
    <n v="226331.94"/>
    <x v="2"/>
    <n v="8"/>
    <n v="1.6824103380711799E-2"/>
    <n v="4.7957544184234903E-2"/>
    <n v="49.591837563451776"/>
    <n v="4.6333959493907217"/>
    <n v="177483.98"/>
    <d v="2024-10-31T00:00:00"/>
    <n v="49.44"/>
    <n v="30"/>
    <n v="11.019618287161011"/>
    <n v="2.016460871651549E-2"/>
    <n v="0.21582442142280001"/>
  </r>
  <r>
    <s v="C195"/>
    <x v="0"/>
    <d v="2024-06-30T00:00:00"/>
    <d v="2024-02-22T00:00:00"/>
    <x v="4"/>
    <x v="1"/>
    <x v="0"/>
    <x v="0"/>
    <x v="194"/>
    <n v="1841425"/>
    <n v="12777"/>
    <n v="1730"/>
    <n v="46913.69"/>
    <x v="2"/>
    <n v="8"/>
    <n v="6.9386480578899502E-3"/>
    <n v="0.135399546059325"/>
    <n v="3.4026011560693643"/>
    <n v="7.9697086553979446"/>
    <n v="41027.19"/>
    <d v="2024-07-30T00:00:00"/>
    <n v="24.79"/>
    <n v="30"/>
    <n v="3.6717296705016831"/>
    <n v="0.2938928055720717"/>
    <n v="0.12547510119114499"/>
  </r>
  <r>
    <s v="C196"/>
    <x v="2"/>
    <d v="2024-06-15T00:00:00"/>
    <d v="2024-04-02T00:00:00"/>
    <x v="2"/>
    <x v="0"/>
    <x v="0"/>
    <x v="1"/>
    <x v="195"/>
    <n v="1543934"/>
    <n v="35396"/>
    <n v="424"/>
    <n v="247620.73"/>
    <x v="0"/>
    <n v="6"/>
    <n v="2.29258504573382E-2"/>
    <n v="1.1978754661543699E-2"/>
    <n v="67.062476415094338"/>
    <n v="8.7084639112570681"/>
    <n v="219186.24000000002"/>
    <d v="2024-07-15T00:00:00"/>
    <n v="31.83"/>
    <n v="30"/>
    <n v="6.995726353260256"/>
    <n v="1.4911468431471779E-2"/>
    <n v="0.114830814043719"/>
  </r>
  <r>
    <s v="C197"/>
    <x v="2"/>
    <d v="2024-03-31T00:00:00"/>
    <d v="2024-06-21T00:00:00"/>
    <x v="3"/>
    <x v="1"/>
    <x v="3"/>
    <x v="0"/>
    <x v="196"/>
    <n v="1341627"/>
    <n v="31373"/>
    <n v="211"/>
    <n v="239163.28"/>
    <x v="0"/>
    <n v="9"/>
    <n v="2.3384293846203202E-2"/>
    <n v="6.7255283205303901E-3"/>
    <n v="350.7765876777251"/>
    <n v="3.2313309966538699"/>
    <n v="165149.41999999998"/>
    <d v="2024-06-21T00:00:00"/>
    <n v="22.28"/>
    <n v="82"/>
    <n v="7.6232199662129858"/>
    <n v="2.8508174009570638E-3"/>
    <n v="0.30946999890618698"/>
  </r>
  <r>
    <s v="C198"/>
    <x v="4"/>
    <d v="2024-07-20T00:00:00"/>
    <d v="2024-07-01T00:00:00"/>
    <x v="1"/>
    <x v="2"/>
    <x v="0"/>
    <x v="0"/>
    <x v="197"/>
    <n v="1256123"/>
    <n v="34154"/>
    <n v="1819"/>
    <n v="128722.05"/>
    <x v="1"/>
    <n v="6"/>
    <n v="2.7190012443049E-2"/>
    <n v="5.3258769104643701E-2"/>
    <n v="54.547526113249035"/>
    <n v="1.2973142535497439"/>
    <n v="29500.100000000006"/>
    <d v="2024-08-19T00:00:00"/>
    <n v="73.17"/>
    <n v="30"/>
    <n v="3.7688718744510159"/>
    <n v="1.8332637082822904E-2"/>
    <n v="0.77082325833064302"/>
  </r>
  <r>
    <s v="C199"/>
    <x v="1"/>
    <d v="2024-01-19T00:00:00"/>
    <d v="2024-06-23T00:00:00"/>
    <x v="4"/>
    <x v="1"/>
    <x v="2"/>
    <x v="2"/>
    <x v="198"/>
    <n v="462104"/>
    <n v="7031"/>
    <n v="1453"/>
    <n v="133052.85999999999"/>
    <x v="0"/>
    <n v="4"/>
    <n v="1.5215189654276999E-2"/>
    <n v="0.20665623666619301"/>
    <n v="9.9256159669648998"/>
    <n v="9.225738320556486"/>
    <n v="118630.93999999999"/>
    <d v="2024-06-23T00:00:00"/>
    <n v="67.930000000000007"/>
    <n v="156"/>
    <n v="18.923746266533918"/>
    <n v="0.1007494147797242"/>
    <n v="0.10839240885164"/>
  </r>
  <r>
    <s v="C200"/>
    <x v="0"/>
    <d v="2024-02-08T00:00:00"/>
    <d v="2024-09-11T00:00:00"/>
    <x v="2"/>
    <x v="1"/>
    <x v="2"/>
    <x v="1"/>
    <x v="199"/>
    <n v="1666596"/>
    <n v="28997"/>
    <n v="1729"/>
    <n v="125571.84"/>
    <x v="2"/>
    <n v="8"/>
    <n v="1.7398937714959099E-2"/>
    <n v="5.9626857950822502E-2"/>
    <n v="24.951972238288029"/>
    <n v="2.910666089347818"/>
    <n v="82429.88"/>
    <d v="2024-09-11T00:00:00"/>
    <n v="47.26"/>
    <n v="216"/>
    <n v="4.3305114322171256"/>
    <n v="4.007699232950937E-2"/>
    <n v="0.343563971030448"/>
  </r>
  <r>
    <s v="C201"/>
    <x v="3"/>
    <d v="2024-05-05T00:00:00"/>
    <d v="2024-05-13T00:00:00"/>
    <x v="0"/>
    <x v="2"/>
    <x v="2"/>
    <x v="2"/>
    <x v="200"/>
    <n v="1835559"/>
    <n v="7439"/>
    <n v="1431"/>
    <n v="162506.47"/>
    <x v="1"/>
    <n v="6"/>
    <n v="4.0527163659680801E-3"/>
    <n v="0.192364565129722"/>
    <n v="56.608483577917546"/>
    <n v="2.0060857898984699"/>
    <n v="81499.73"/>
    <d v="2024-05-13T00:00:00"/>
    <n v="62.99"/>
    <n v="8"/>
    <n v="21.845203656405431"/>
    <n v="1.7665196747826167E-2"/>
    <n v="0.49848316808555398"/>
  </r>
  <r>
    <s v="C202"/>
    <x v="2"/>
    <d v="2024-06-21T00:00:00"/>
    <d v="2024-05-13T00:00:00"/>
    <x v="4"/>
    <x v="2"/>
    <x v="2"/>
    <x v="2"/>
    <x v="201"/>
    <n v="358449"/>
    <n v="23785"/>
    <n v="1261"/>
    <n v="31773.21"/>
    <x v="2"/>
    <n v="5"/>
    <n v="6.6355325304297094E-2"/>
    <n v="5.3016607105318497E-2"/>
    <n v="19.336550356859636"/>
    <n v="1.3030677850782848"/>
    <n v="7389.82"/>
    <d v="2024-07-21T00:00:00"/>
    <n v="63.37"/>
    <n v="30"/>
    <n v="1.3358507462686566"/>
    <n v="5.1715532581810816E-2"/>
    <n v="0.767419785410413"/>
  </r>
  <r>
    <s v="C203"/>
    <x v="4"/>
    <d v="2024-05-20T00:00:00"/>
    <d v="2024-03-09T00:00:00"/>
    <x v="4"/>
    <x v="2"/>
    <x v="0"/>
    <x v="1"/>
    <x v="202"/>
    <n v="1799973"/>
    <n v="14392"/>
    <n v="371"/>
    <n v="17828.310000000001"/>
    <x v="0"/>
    <n v="9"/>
    <n v="7.9956754906879198E-3"/>
    <n v="2.5778210116731499E-2"/>
    <n v="155.61474393530997"/>
    <n v="0.30880585425303042"/>
    <n v="-39904.759999999995"/>
    <d v="2024-06-19T00:00:00"/>
    <n v="65.84"/>
    <n v="30"/>
    <n v="1.2387652862701501"/>
    <n v="6.4261263085437859E-3"/>
    <n v="3.2382805773514098"/>
  </r>
  <r>
    <s v="C204"/>
    <x v="4"/>
    <d v="2024-08-29T00:00:00"/>
    <d v="2024-08-15T00:00:00"/>
    <x v="2"/>
    <x v="1"/>
    <x v="3"/>
    <x v="1"/>
    <x v="203"/>
    <n v="583634"/>
    <n v="29669"/>
    <n v="499"/>
    <n v="23848.7"/>
    <x v="1"/>
    <n v="9"/>
    <n v="5.0834941076085403E-2"/>
    <n v="1.6818901884121499E-2"/>
    <n v="149.58270541082166"/>
    <n v="0.31950876834780312"/>
    <n v="-50793.070000000007"/>
    <d v="2024-09-28T00:00:00"/>
    <n v="18.39"/>
    <n v="30"/>
    <n v="0.80382554181131827"/>
    <n v="6.685264832278227E-3"/>
    <n v="3.12980455957767"/>
  </r>
  <r>
    <s v="C205"/>
    <x v="0"/>
    <d v="2024-08-07T00:00:00"/>
    <d v="2024-06-12T00:00:00"/>
    <x v="4"/>
    <x v="1"/>
    <x v="3"/>
    <x v="0"/>
    <x v="204"/>
    <n v="1885595"/>
    <n v="29939"/>
    <n v="1547"/>
    <n v="116647.67999999999"/>
    <x v="2"/>
    <n v="7"/>
    <n v="1.5877746812014201E-2"/>
    <n v="5.1671732522796401E-2"/>
    <n v="41.05922430510666"/>
    <n v="1.83643284441633"/>
    <n v="53129.05999999999"/>
    <d v="2024-09-06T00:00:00"/>
    <n v="65.709999999999994"/>
    <n v="30"/>
    <n v="3.8961782290657667"/>
    <n v="2.435506312952013E-2"/>
    <n v="0.54453393329383004"/>
  </r>
  <r>
    <s v="C206"/>
    <x v="2"/>
    <d v="2024-05-05T00:00:00"/>
    <d v="2024-04-06T00:00:00"/>
    <x v="0"/>
    <x v="2"/>
    <x v="3"/>
    <x v="1"/>
    <x v="205"/>
    <n v="1111339"/>
    <n v="3282"/>
    <n v="1086"/>
    <n v="76131.509999999995"/>
    <x v="1"/>
    <n v="5"/>
    <n v="2.9531942998491001E-3"/>
    <n v="0.33089579524680102"/>
    <n v="21.051887661141805"/>
    <n v="3.3299949480259028"/>
    <n v="53269.159999999996"/>
    <d v="2024-06-04T00:00:00"/>
    <n v="52.48"/>
    <n v="30"/>
    <n v="23.196681901279707"/>
    <n v="4.7501678523861286E-2"/>
    <n v="0.30030075588938099"/>
  </r>
  <r>
    <s v="C207"/>
    <x v="1"/>
    <d v="2024-02-27T00:00:00"/>
    <d v="2024-07-27T00:00:00"/>
    <x v="5"/>
    <x v="0"/>
    <x v="3"/>
    <x v="0"/>
    <x v="206"/>
    <n v="240237"/>
    <n v="35624"/>
    <n v="233"/>
    <n v="159289.49"/>
    <x v="1"/>
    <n v="7"/>
    <n v="0.14828690001956399"/>
    <n v="6.5405344711430497E-3"/>
    <n v="166.35849785407726"/>
    <n v="4.1094737488432473"/>
    <n v="120527.95999999999"/>
    <d v="2024-07-27T00:00:00"/>
    <n v="13.64"/>
    <n v="151"/>
    <n v="4.4714094430720861"/>
    <n v="6.0111146283441342E-3"/>
    <n v="0.243340160107236"/>
  </r>
  <r>
    <s v="C208"/>
    <x v="2"/>
    <d v="2024-05-27T00:00:00"/>
    <d v="2024-03-12T00:00:00"/>
    <x v="4"/>
    <x v="0"/>
    <x v="1"/>
    <x v="0"/>
    <x v="207"/>
    <n v="1861417"/>
    <n v="49438"/>
    <n v="160"/>
    <n v="248186.15"/>
    <x v="0"/>
    <n v="6"/>
    <n v="2.6559336247600599E-2"/>
    <n v="3.2363768760872201E-3"/>
    <n v="496.626375"/>
    <n v="3.1234012440438748"/>
    <n v="168725.93"/>
    <d v="2024-06-26T00:00:00"/>
    <n v="22.92"/>
    <n v="30"/>
    <n v="5.0201494801569639"/>
    <n v="2.0135861692806788E-3"/>
    <n v="0.32016379640846199"/>
  </r>
  <r>
    <s v="C209"/>
    <x v="0"/>
    <d v="2024-01-01T00:00:00"/>
    <d v="2024-02-14T00:00:00"/>
    <x v="5"/>
    <x v="3"/>
    <x v="3"/>
    <x v="0"/>
    <x v="208"/>
    <n v="906047"/>
    <n v="25364"/>
    <n v="557"/>
    <n v="102717.56"/>
    <x v="2"/>
    <n v="4"/>
    <n v="2.79941327547026E-2"/>
    <n v="2.1960258634284802E-2"/>
    <n v="103.50362657091561"/>
    <n v="1.7816973429321552"/>
    <n v="45066.04"/>
    <d v="2024-02-14T00:00:00"/>
    <n v="42.84"/>
    <n v="44"/>
    <n v="4.0497382116385428"/>
    <n v="9.6614972163786839E-3"/>
    <n v="0.56126255335504505"/>
  </r>
  <r>
    <s v="C210"/>
    <x v="0"/>
    <d v="2024-07-08T00:00:00"/>
    <d v="2024-05-20T00:00:00"/>
    <x v="0"/>
    <x v="2"/>
    <x v="1"/>
    <x v="1"/>
    <x v="209"/>
    <n v="479332"/>
    <n v="2998"/>
    <n v="1363"/>
    <n v="147721.9"/>
    <x v="1"/>
    <n v="5"/>
    <n v="6.2545375647776501E-3"/>
    <n v="0.454636424282855"/>
    <n v="4.0328760088041085"/>
    <n v="26.874114258997487"/>
    <n v="142225.09"/>
    <d v="2024-08-07T00:00:00"/>
    <n v="23.77"/>
    <n v="30"/>
    <n v="49.273482321547696"/>
    <n v="0.24796199977805308"/>
    <n v="3.7210528702920798E-2"/>
  </r>
  <r>
    <s v="C211"/>
    <x v="2"/>
    <d v="2024-07-09T00:00:00"/>
    <d v="2024-07-05T00:00:00"/>
    <x v="2"/>
    <x v="3"/>
    <x v="1"/>
    <x v="2"/>
    <x v="210"/>
    <n v="695275"/>
    <n v="32705"/>
    <n v="344"/>
    <n v="109744.94"/>
    <x v="1"/>
    <n v="5"/>
    <n v="4.7038941426054401E-2"/>
    <n v="1.0518269377771E-2"/>
    <n v="224.69220930232558"/>
    <n v="1.4198355579958735"/>
    <n v="32450.820000000007"/>
    <d v="2024-08-08T00:00:00"/>
    <n v="68.680000000000007"/>
    <n v="30"/>
    <n v="3.355601284207308"/>
    <n v="4.4505325890248837E-3"/>
    <n v="0.70430691383128896"/>
  </r>
  <r>
    <s v="C212"/>
    <x v="0"/>
    <d v="2024-04-26T00:00:00"/>
    <d v="2024-11-14T00:00:00"/>
    <x v="1"/>
    <x v="0"/>
    <x v="2"/>
    <x v="0"/>
    <x v="211"/>
    <n v="1315399"/>
    <n v="39244"/>
    <n v="1524"/>
    <n v="213345.2"/>
    <x v="2"/>
    <n v="5"/>
    <n v="2.9834293624976201E-2"/>
    <n v="3.8833961879523003E-2"/>
    <n v="5.4820078740157481"/>
    <n v="25.536316607178339"/>
    <n v="204990.62000000002"/>
    <d v="2024-11-14T00:00:00"/>
    <n v="29.71"/>
    <n v="202"/>
    <n v="5.4363775354194273"/>
    <n v="0.18241491493288711"/>
    <n v="3.91599154797014E-2"/>
  </r>
  <r>
    <s v="C213"/>
    <x v="2"/>
    <d v="2024-05-13T00:00:00"/>
    <d v="2024-09-17T00:00:00"/>
    <x v="4"/>
    <x v="3"/>
    <x v="1"/>
    <x v="2"/>
    <x v="212"/>
    <n v="1189929"/>
    <n v="10428"/>
    <n v="953"/>
    <n v="226536.74"/>
    <x v="1"/>
    <n v="7"/>
    <n v="8.7635480772382205E-3"/>
    <n v="9.1388569236670505E-2"/>
    <n v="79.585215110178396"/>
    <n v="2.9868495772480372"/>
    <n v="150692.02999999997"/>
    <d v="2024-09-17T00:00:00"/>
    <n v="22.55"/>
    <n v="127"/>
    <n v="21.723891446106634"/>
    <n v="1.2565147918688065E-2"/>
    <n v="0.33480092456526001"/>
  </r>
  <r>
    <s v="C214"/>
    <x v="3"/>
    <d v="2024-02-27T00:00:00"/>
    <d v="2024-07-05T00:00:00"/>
    <x v="1"/>
    <x v="2"/>
    <x v="0"/>
    <x v="2"/>
    <x v="213"/>
    <n v="271373"/>
    <n v="38437"/>
    <n v="1288"/>
    <n v="220565.35"/>
    <x v="1"/>
    <n v="6"/>
    <n v="0.14163899872131699"/>
    <n v="3.35093789837917E-2"/>
    <n v="18.816498447204971"/>
    <n v="9.100863810130944"/>
    <n v="196329.7"/>
    <d v="2024-07-05T00:00:00"/>
    <n v="45.09"/>
    <n v="129"/>
    <n v="5.7383601737908787"/>
    <n v="5.3144850664207474E-2"/>
    <n v="0.109879679650498"/>
  </r>
  <r>
    <s v="C215"/>
    <x v="2"/>
    <d v="2024-02-13T00:00:00"/>
    <d v="2024-03-08T00:00:00"/>
    <x v="0"/>
    <x v="2"/>
    <x v="1"/>
    <x v="1"/>
    <x v="214"/>
    <n v="1456368"/>
    <n v="13336"/>
    <n v="1023"/>
    <n v="243849.34"/>
    <x v="1"/>
    <n v="5"/>
    <n v="9.1570262461136195E-3"/>
    <n v="7.6709658068386297E-2"/>
    <n v="93.858240469208212"/>
    <n v="2.5396480914104984"/>
    <n v="147832.35999999999"/>
    <d v="2024-03-08T00:00:00"/>
    <n v="24.74"/>
    <n v="24"/>
    <n v="18.285043491301739"/>
    <n v="1.0654365509100578E-2"/>
    <n v="0.393755340900246"/>
  </r>
  <r>
    <s v="C216"/>
    <x v="2"/>
    <d v="2024-06-21T00:00:00"/>
    <d v="2024-05-06T00:00:00"/>
    <x v="4"/>
    <x v="2"/>
    <x v="2"/>
    <x v="2"/>
    <x v="215"/>
    <n v="599844"/>
    <n v="10342"/>
    <n v="681"/>
    <n v="16604.599999999999"/>
    <x v="2"/>
    <n v="5"/>
    <n v="1.7241149365501699E-2"/>
    <n v="6.5847998452910506E-2"/>
    <n v="58.670146842878125"/>
    <n v="0.41558908324671362"/>
    <n v="-23349.770000000004"/>
    <d v="2024-07-21T00:00:00"/>
    <n v="30.96"/>
    <n v="30"/>
    <n v="1.6055501837168824"/>
    <n v="1.7044443448864292E-2"/>
    <n v="2.4062229743565"/>
  </r>
  <r>
    <s v="C217"/>
    <x v="0"/>
    <d v="2024-06-08T00:00:00"/>
    <d v="2024-11-14T00:00:00"/>
    <x v="5"/>
    <x v="1"/>
    <x v="1"/>
    <x v="2"/>
    <x v="216"/>
    <n v="895474"/>
    <n v="40832"/>
    <n v="1967"/>
    <n v="211555.88"/>
    <x v="2"/>
    <n v="9"/>
    <n v="4.5598197155919701E-2"/>
    <n v="4.8173001567398101E-2"/>
    <n v="18.331723436705644"/>
    <n v="5.8670183174563562"/>
    <n v="175497.38"/>
    <d v="2024-11-14T00:00:00"/>
    <n v="14.69"/>
    <n v="159"/>
    <n v="5.1811295062695928"/>
    <n v="5.4550244741184466E-2"/>
    <n v="0.17044432894042"/>
  </r>
  <r>
    <s v="C218"/>
    <x v="0"/>
    <d v="2024-06-21T00:00:00"/>
    <d v="2024-10-10T00:00:00"/>
    <x v="3"/>
    <x v="3"/>
    <x v="0"/>
    <x v="1"/>
    <x v="217"/>
    <n v="1640963"/>
    <n v="8446"/>
    <n v="1640"/>
    <n v="190425.32"/>
    <x v="2"/>
    <n v="4"/>
    <n v="5.1469777197901499E-3"/>
    <n v="0.19417475728155301"/>
    <n v="11.673390243902439"/>
    <n v="9.9468104444337655"/>
    <n v="171280.96000000002"/>
    <d v="2024-10-10T00:00:00"/>
    <n v="28.58"/>
    <n v="111"/>
    <n v="22.546213592233009"/>
    <n v="8.5664916455812576E-2"/>
    <n v="0.100534739812962"/>
  </r>
  <r>
    <s v="C219"/>
    <x v="4"/>
    <d v="2024-05-28T00:00:00"/>
    <d v="2024-08-13T00:00:00"/>
    <x v="1"/>
    <x v="0"/>
    <x v="0"/>
    <x v="0"/>
    <x v="218"/>
    <n v="421233"/>
    <n v="39392"/>
    <n v="1100"/>
    <n v="64886.66"/>
    <x v="2"/>
    <n v="9"/>
    <n v="9.3515940109155801E-2"/>
    <n v="2.7924451665312801E-2"/>
    <n v="30.938545454545455"/>
    <n v="1.9066142852105641"/>
    <n v="30854.260000000002"/>
    <d v="2024-08-13T00:00:00"/>
    <n v="16.47"/>
    <n v="77"/>
    <n v="1.6472040008123479"/>
    <n v="3.2322140078278348E-2"/>
    <n v="0.52448993367820096"/>
  </r>
  <r>
    <s v="C220"/>
    <x v="4"/>
    <d v="2024-03-20T00:00:00"/>
    <d v="2024-04-25T00:00:00"/>
    <x v="4"/>
    <x v="0"/>
    <x v="0"/>
    <x v="2"/>
    <x v="219"/>
    <n v="1274744"/>
    <n v="8461"/>
    <n v="1703"/>
    <n v="239516.82"/>
    <x v="0"/>
    <n v="9"/>
    <n v="6.6374111194090696E-3"/>
    <n v="0.201276444864673"/>
    <n v="51.839001761597189"/>
    <n v="2.7130933639564745"/>
    <n v="151235"/>
    <d v="2024-04-25T00:00:00"/>
    <n v="22.26"/>
    <n v="36"/>
    <n v="28.308334712208961"/>
    <n v="1.9290494917300071E-2"/>
    <n v="0.36858296632361798"/>
  </r>
  <r>
    <s v="C221"/>
    <x v="3"/>
    <d v="2024-07-31T00:00:00"/>
    <d v="2024-02-09T00:00:00"/>
    <x v="1"/>
    <x v="0"/>
    <x v="2"/>
    <x v="1"/>
    <x v="220"/>
    <n v="1825922"/>
    <n v="35587"/>
    <n v="782"/>
    <n v="45562.7"/>
    <x v="1"/>
    <n v="4"/>
    <n v="1.9489879633412598E-2"/>
    <n v="2.1974316463877298E-2"/>
    <n v="127.43191815856777"/>
    <n v="0.45721922021246791"/>
    <n v="-54089.06"/>
    <d v="2024-08-30T00:00:00"/>
    <n v="77.3"/>
    <n v="30"/>
    <n v="1.280318655688875"/>
    <n v="7.84732753340232E-3"/>
    <n v="2.1871346518094801"/>
  </r>
  <r>
    <s v="C222"/>
    <x v="4"/>
    <d v="2024-07-21T00:00:00"/>
    <d v="2024-02-04T00:00:00"/>
    <x v="4"/>
    <x v="1"/>
    <x v="2"/>
    <x v="2"/>
    <x v="221"/>
    <n v="718590"/>
    <n v="11516"/>
    <n v="1304"/>
    <n v="173091.98"/>
    <x v="2"/>
    <n v="6"/>
    <n v="1.6025828358312798E-2"/>
    <n v="0.11323376172282"/>
    <n v="30.666725460122702"/>
    <n v="4.3284454559344585"/>
    <n v="133102.57"/>
    <d v="2024-08-20T00:00:00"/>
    <n v="31"/>
    <n v="30"/>
    <n v="15.030564432094478"/>
    <n v="3.260863313562265E-2"/>
    <n v="0.23102982587639201"/>
  </r>
  <r>
    <s v="C223"/>
    <x v="2"/>
    <d v="2024-09-08T00:00:00"/>
    <d v="2024-06-01T00:00:00"/>
    <x v="2"/>
    <x v="1"/>
    <x v="3"/>
    <x v="2"/>
    <x v="222"/>
    <n v="1520801"/>
    <n v="14749"/>
    <n v="1638"/>
    <n v="63973.65"/>
    <x v="1"/>
    <n v="9"/>
    <n v="9.6981787886778106E-3"/>
    <n v="0.11105837683910801"/>
    <n v="29.070824175824178"/>
    <n v="1.3434759243403913"/>
    <n v="16355.64"/>
    <d v="2024-10-08T00:00:00"/>
    <n v="58.36"/>
    <n v="30"/>
    <n v="4.3374906773340562"/>
    <n v="3.4398749548752668E-2"/>
    <n v="0.74433786410498703"/>
  </r>
  <r>
    <s v="C224"/>
    <x v="0"/>
    <d v="2024-08-16T00:00:00"/>
    <d v="2024-05-27T00:00:00"/>
    <x v="5"/>
    <x v="2"/>
    <x v="2"/>
    <x v="0"/>
    <x v="223"/>
    <n v="1300617"/>
    <n v="18514"/>
    <n v="1880"/>
    <n v="113531.36"/>
    <x v="1"/>
    <n v="6"/>
    <n v="1.42347824148077E-2"/>
    <n v="0.10154477692557"/>
    <n v="39.147202127659575"/>
    <n v="1.5426139799126972"/>
    <n v="39934.619999999995"/>
    <d v="2024-09-15T00:00:00"/>
    <n v="45.69"/>
    <n v="30"/>
    <n v="6.1321896942854055"/>
    <n v="2.55446097204849E-2"/>
    <n v="0.64825031603602701"/>
  </r>
  <r>
    <s v="C225"/>
    <x v="4"/>
    <d v="2024-06-12T00:00:00"/>
    <d v="2024-11-19T00:00:00"/>
    <x v="1"/>
    <x v="0"/>
    <x v="0"/>
    <x v="2"/>
    <x v="224"/>
    <n v="83866"/>
    <n v="36426"/>
    <n v="370"/>
    <n v="182598.38"/>
    <x v="0"/>
    <n v="9"/>
    <n v="0.43433572603915799"/>
    <n v="1.0157579750727499E-2"/>
    <n v="241.05027027027029"/>
    <n v="2.0473286944744058"/>
    <n v="93409.78"/>
    <d v="2024-11-19T00:00:00"/>
    <n v="56.74"/>
    <n v="160"/>
    <n v="5.0128583978476913"/>
    <n v="4.1485122538082219E-3"/>
    <n v="0.488441354189451"/>
  </r>
  <r>
    <s v="C226"/>
    <x v="4"/>
    <d v="2024-08-14T00:00:00"/>
    <d v="2024-07-07T00:00:00"/>
    <x v="3"/>
    <x v="1"/>
    <x v="0"/>
    <x v="1"/>
    <x v="225"/>
    <n v="1203976"/>
    <n v="37268"/>
    <n v="962"/>
    <n v="145197.91"/>
    <x v="2"/>
    <n v="8"/>
    <n v="3.0954105397449801E-2"/>
    <n v="2.5813029945261402E-2"/>
    <n v="63.762172557172555"/>
    <n v="2.367130421144974"/>
    <n v="83858.700000000012"/>
    <d v="2024-09-13T00:00:00"/>
    <n v="18.78"/>
    <n v="30"/>
    <n v="3.8960478158205434"/>
    <n v="1.5683279911821491E-2"/>
    <n v="0.42245243061694199"/>
  </r>
  <r>
    <s v="C227"/>
    <x v="3"/>
    <d v="2024-05-26T00:00:00"/>
    <d v="2024-09-14T00:00:00"/>
    <x v="3"/>
    <x v="2"/>
    <x v="2"/>
    <x v="2"/>
    <x v="226"/>
    <n v="1969254"/>
    <n v="25950"/>
    <n v="1306"/>
    <n v="112600.44"/>
    <x v="2"/>
    <n v="4"/>
    <n v="1.31775789207487E-2"/>
    <n v="5.0327552986512501E-2"/>
    <n v="32.308529862174581"/>
    <n v="2.6685768483140393"/>
    <n v="70405.5"/>
    <d v="2024-09-14T00:00:00"/>
    <n v="42.76"/>
    <n v="111"/>
    <n v="4.3391306358381501"/>
    <n v="3.0951578554205786E-2"/>
    <n v="0.37473157298497201"/>
  </r>
  <r>
    <s v="C228"/>
    <x v="3"/>
    <d v="2024-01-20T00:00:00"/>
    <d v="2024-09-02T00:00:00"/>
    <x v="0"/>
    <x v="0"/>
    <x v="1"/>
    <x v="0"/>
    <x v="227"/>
    <n v="1437695"/>
    <n v="35888"/>
    <n v="1743"/>
    <n v="88321.22"/>
    <x v="1"/>
    <n v="9"/>
    <n v="2.49621790435384E-2"/>
    <n v="4.8567766384306703E-2"/>
    <n v="25.358043602983361"/>
    <n v="1.9982596918894449"/>
    <n v="44122.15"/>
    <d v="2024-09-02T00:00:00"/>
    <n v="58.37"/>
    <n v="226"/>
    <n v="2.4610237405260813"/>
    <n v="3.9435218885827239E-2"/>
    <n v="0.50043545594139205"/>
  </r>
  <r>
    <s v="C229"/>
    <x v="2"/>
    <d v="2024-02-16T00:00:00"/>
    <d v="2024-08-01T00:00:00"/>
    <x v="4"/>
    <x v="3"/>
    <x v="2"/>
    <x v="0"/>
    <x v="228"/>
    <n v="485071"/>
    <n v="37788"/>
    <n v="486"/>
    <n v="211518.32"/>
    <x v="2"/>
    <n v="8"/>
    <n v="7.7901997851860902E-2"/>
    <n v="1.28612257859638E-2"/>
    <n v="146.26279835390946"/>
    <n v="2.9756225476100577"/>
    <n v="140434.6"/>
    <d v="2024-08-01T00:00:00"/>
    <n v="30.16"/>
    <n v="167"/>
    <n v="5.5974997353657248"/>
    <n v="6.8370085302232354E-3"/>
    <n v="0.33606412910238698"/>
  </r>
  <r>
    <s v="C230"/>
    <x v="0"/>
    <d v="2024-08-20T00:00:00"/>
    <d v="2024-02-14T00:00:00"/>
    <x v="1"/>
    <x v="2"/>
    <x v="2"/>
    <x v="1"/>
    <x v="229"/>
    <n v="1442277"/>
    <n v="11213"/>
    <n v="830"/>
    <n v="44515.44"/>
    <x v="1"/>
    <n v="7"/>
    <n v="7.7745121082843302E-3"/>
    <n v="7.4021225363417403E-2"/>
    <n v="6.3924578313253013"/>
    <n v="8.3900530368996602"/>
    <n v="39209.700000000004"/>
    <d v="2024-09-19T00:00:00"/>
    <n v="12.27"/>
    <n v="30"/>
    <n v="3.9699848390261305"/>
    <n v="0.15643435222984919"/>
    <n v="0.11918875787816501"/>
  </r>
  <r>
    <s v="C231"/>
    <x v="3"/>
    <d v="2024-01-14T00:00:00"/>
    <d v="2024-07-05T00:00:00"/>
    <x v="0"/>
    <x v="1"/>
    <x v="0"/>
    <x v="0"/>
    <x v="230"/>
    <n v="1236064"/>
    <n v="37027"/>
    <n v="1606"/>
    <n v="113224.69"/>
    <x v="1"/>
    <n v="8"/>
    <n v="2.9955568643694801E-2"/>
    <n v="4.33737542874119E-2"/>
    <n v="39.764003735990038"/>
    <n v="1.7729867639070425"/>
    <n v="49363.700000000004"/>
    <d v="2024-07-05T00:00:00"/>
    <n v="61.44"/>
    <n v="173"/>
    <n v="3.0578953196316201"/>
    <n v="2.5148373052155941E-2"/>
    <n v="0.564020003057637"/>
  </r>
  <r>
    <s v="C232"/>
    <x v="4"/>
    <d v="2024-05-22T00:00:00"/>
    <d v="2024-06-14T00:00:00"/>
    <x v="1"/>
    <x v="1"/>
    <x v="3"/>
    <x v="2"/>
    <x v="231"/>
    <n v="646804"/>
    <n v="29011"/>
    <n v="1476"/>
    <n v="226901.82"/>
    <x v="0"/>
    <n v="5"/>
    <n v="4.4852845684318597E-2"/>
    <n v="5.0877253455585802E-2"/>
    <n v="26.268184281842817"/>
    <n v="5.8522324449910048"/>
    <n v="188129.98"/>
    <d v="2024-06-14T00:00:00"/>
    <n v="20.309999999999999"/>
    <n v="23"/>
    <n v="7.8212340146840855"/>
    <n v="3.8068866476287946E-2"/>
    <n v="0.170874962571918"/>
  </r>
  <r>
    <s v="C233"/>
    <x v="0"/>
    <d v="2024-01-01T00:00:00"/>
    <d v="2024-10-17T00:00:00"/>
    <x v="4"/>
    <x v="2"/>
    <x v="0"/>
    <x v="0"/>
    <x v="232"/>
    <n v="236987"/>
    <n v="43849"/>
    <n v="1126"/>
    <n v="213003.89"/>
    <x v="0"/>
    <n v="9"/>
    <n v="0.18502702679893801"/>
    <n v="2.5679034869666401E-2"/>
    <n v="71.446492007104794"/>
    <n v="2.6476967013160553"/>
    <n v="132555.14000000001"/>
    <d v="2024-10-17T00:00:00"/>
    <n v="61.73"/>
    <n v="290"/>
    <n v="4.8576681338228926"/>
    <n v="1.3996488447614164E-2"/>
    <n v="0.37768676431214498"/>
  </r>
  <r>
    <s v="C234"/>
    <x v="0"/>
    <d v="2024-02-23T00:00:00"/>
    <d v="2024-07-05T00:00:00"/>
    <x v="3"/>
    <x v="2"/>
    <x v="3"/>
    <x v="1"/>
    <x v="233"/>
    <n v="461274"/>
    <n v="35591"/>
    <n v="1860"/>
    <n v="106226.02"/>
    <x v="0"/>
    <n v="8"/>
    <n v="7.7158044893056998E-2"/>
    <n v="5.22604029108482E-2"/>
    <n v="7.437693548387097"/>
    <n v="7.6785582881732184"/>
    <n v="92391.91"/>
    <d v="2024-07-05T00:00:00"/>
    <n v="79.31"/>
    <n v="133"/>
    <n v="2.984631507965497"/>
    <n v="0.13445028267087655"/>
    <n v="0.13023278100789201"/>
  </r>
  <r>
    <s v="C235"/>
    <x v="4"/>
    <d v="2024-09-15T00:00:00"/>
    <d v="2024-03-17T00:00:00"/>
    <x v="2"/>
    <x v="1"/>
    <x v="0"/>
    <x v="0"/>
    <x v="234"/>
    <n v="483934"/>
    <n v="18858"/>
    <n v="1386"/>
    <n v="193146.01"/>
    <x v="1"/>
    <n v="6"/>
    <n v="3.8968123752412501E-2"/>
    <n v="7.3496659242761705E-2"/>
    <n v="43.924401154401153"/>
    <n v="3.1726098001912639"/>
    <n v="132266.79"/>
    <d v="2024-10-15T00:00:00"/>
    <n v="41"/>
    <n v="30"/>
    <n v="10.242125888217203"/>
    <n v="2.276638892548229E-2"/>
    <n v="0.31519791685057302"/>
  </r>
  <r>
    <s v="C236"/>
    <x v="3"/>
    <d v="2024-05-23T00:00:00"/>
    <d v="2024-07-21T00:00:00"/>
    <x v="3"/>
    <x v="3"/>
    <x v="2"/>
    <x v="0"/>
    <x v="235"/>
    <n v="344746"/>
    <n v="19626"/>
    <n v="1354"/>
    <n v="207558.6"/>
    <x v="2"/>
    <n v="7"/>
    <n v="5.6928869370493101E-2"/>
    <n v="6.8990115153368003E-2"/>
    <n v="37.439010339734118"/>
    <n v="4.0944701397171412"/>
    <n v="156866.18"/>
    <d v="2024-07-21T00:00:00"/>
    <n v="42.64"/>
    <n v="59"/>
    <n v="10.57569550596148"/>
    <n v="2.6710107743919111E-2"/>
    <n v="0.24423184584979901"/>
  </r>
  <r>
    <s v="C237"/>
    <x v="4"/>
    <d v="2024-01-12T00:00:00"/>
    <d v="2024-06-08T00:00:00"/>
    <x v="0"/>
    <x v="0"/>
    <x v="0"/>
    <x v="0"/>
    <x v="236"/>
    <n v="1566450"/>
    <n v="14467"/>
    <n v="775"/>
    <n v="223332.98"/>
    <x v="0"/>
    <n v="9"/>
    <n v="9.2355325736537992E-3"/>
    <n v="5.3570194235155903E-2"/>
    <n v="85.188283870967737"/>
    <n v="3.382760797638082"/>
    <n v="157312.06"/>
    <d v="2024-06-08T00:00:00"/>
    <n v="22.08"/>
    <n v="148"/>
    <n v="15.437407893827332"/>
    <n v="1.1738703429155487E-2"/>
    <n v="0.29561652739331201"/>
  </r>
  <r>
    <s v="C238"/>
    <x v="0"/>
    <d v="2024-08-11T00:00:00"/>
    <d v="2024-05-04T00:00:00"/>
    <x v="5"/>
    <x v="3"/>
    <x v="0"/>
    <x v="1"/>
    <x v="237"/>
    <n v="1569904"/>
    <n v="40758"/>
    <n v="80"/>
    <n v="140681.38"/>
    <x v="2"/>
    <n v="5"/>
    <n v="2.59620970454244E-2"/>
    <n v="1.96280484812797E-3"/>
    <n v="139.51362499999999"/>
    <n v="12.604627325825703"/>
    <n v="129520.29000000001"/>
    <d v="2024-09-10T00:00:00"/>
    <n v="79.260000000000005"/>
    <n v="30"/>
    <n v="3.451626183816674"/>
    <n v="7.167758704570969E-3"/>
    <n v="7.9335943392082206E-2"/>
  </r>
  <r>
    <s v="C239"/>
    <x v="1"/>
    <d v="2024-09-28T00:00:00"/>
    <d v="2024-05-24T00:00:00"/>
    <x v="2"/>
    <x v="2"/>
    <x v="0"/>
    <x v="0"/>
    <x v="238"/>
    <n v="1287715"/>
    <n v="4134"/>
    <n v="386"/>
    <n v="59070.61"/>
    <x v="0"/>
    <n v="8"/>
    <n v="3.2103376911816698E-3"/>
    <n v="9.3372036768263195E-2"/>
    <n v="155.69549222797926"/>
    <n v="0.9828972323084485"/>
    <n v="-1027.8499999999985"/>
    <d v="2024-10-28T00:00:00"/>
    <n v="69.319999999999993"/>
    <n v="30"/>
    <n v="14.288971940009676"/>
    <n v="6.4227935291519952E-3"/>
    <n v="1.0174003620412899"/>
  </r>
  <r>
    <s v="C240"/>
    <x v="1"/>
    <d v="2024-06-04T00:00:00"/>
    <d v="2024-09-29T00:00:00"/>
    <x v="0"/>
    <x v="3"/>
    <x v="2"/>
    <x v="0"/>
    <x v="239"/>
    <n v="208588"/>
    <n v="17743"/>
    <n v="232"/>
    <n v="71274.179999999993"/>
    <x v="0"/>
    <n v="7"/>
    <n v="8.5062419698161001E-2"/>
    <n v="1.30755791016175E-2"/>
    <n v="251.47"/>
    <n v="1.221681684111219"/>
    <n v="12933.139999999992"/>
    <d v="2024-09-29T00:00:00"/>
    <n v="47.52"/>
    <n v="117"/>
    <n v="4.0170309417798569"/>
    <n v="3.9766174891637173E-3"/>
    <n v="0.81854382610925902"/>
  </r>
  <r>
    <s v="C241"/>
    <x v="2"/>
    <d v="2024-01-08T00:00:00"/>
    <d v="2024-11-17T00:00:00"/>
    <x v="4"/>
    <x v="1"/>
    <x v="2"/>
    <x v="2"/>
    <x v="240"/>
    <n v="1752159"/>
    <n v="16434"/>
    <n v="1096"/>
    <n v="80966.720000000001"/>
    <x v="1"/>
    <n v="9"/>
    <n v="9.3792857839956299E-3"/>
    <n v="6.6691006450042598E-2"/>
    <n v="53.159406934306567"/>
    <n v="1.3896833841062319"/>
    <n v="22704.010000000002"/>
    <d v="2024-11-17T00:00:00"/>
    <n v="67.88"/>
    <n v="314"/>
    <n v="4.9267810636485336"/>
    <n v="1.881134605650853E-2"/>
    <n v="0.71958836914722502"/>
  </r>
  <r>
    <s v="C242"/>
    <x v="4"/>
    <d v="2024-05-01T00:00:00"/>
    <d v="2024-11-07T00:00:00"/>
    <x v="2"/>
    <x v="2"/>
    <x v="2"/>
    <x v="1"/>
    <x v="241"/>
    <n v="1710833"/>
    <n v="48775"/>
    <n v="593"/>
    <n v="152512.6"/>
    <x v="0"/>
    <n v="7"/>
    <n v="2.8509503849878999E-2"/>
    <n v="1.2157867760123E-2"/>
    <n v="105.1118549747049"/>
    <n v="2.446804841160938"/>
    <n v="90181.27"/>
    <d v="2024-11-07T00:00:00"/>
    <n v="17.07"/>
    <n v="190"/>
    <n v="3.126860071758073"/>
    <n v="9.5136747443059534E-3"/>
    <n v="0.40869626509547402"/>
  </r>
  <r>
    <s v="C243"/>
    <x v="4"/>
    <d v="2024-06-12T00:00:00"/>
    <d v="2024-11-24T00:00:00"/>
    <x v="0"/>
    <x v="0"/>
    <x v="2"/>
    <x v="0"/>
    <x v="242"/>
    <n v="1755025"/>
    <n v="11233"/>
    <n v="1519"/>
    <n v="17874.310000000001"/>
    <x v="0"/>
    <n v="5"/>
    <n v="6.4004786256606E-3"/>
    <n v="0.13522656458648599"/>
    <n v="45.598716260697827"/>
    <n v="0.25805893210730763"/>
    <n v="-51390.14"/>
    <d v="2024-11-24T00:00:00"/>
    <n v="13.89"/>
    <n v="165"/>
    <n v="1.5912320840381022"/>
    <n v="2.1930441951101901E-2"/>
    <n v="3.87508384939055"/>
  </r>
  <r>
    <s v="C244"/>
    <x v="2"/>
    <d v="2024-03-30T00:00:00"/>
    <d v="2024-11-08T00:00:00"/>
    <x v="4"/>
    <x v="1"/>
    <x v="3"/>
    <x v="1"/>
    <x v="243"/>
    <n v="1304311"/>
    <n v="2141"/>
    <n v="1147"/>
    <n v="162650.19"/>
    <x v="1"/>
    <n v="8"/>
    <n v="1.64147967777624E-3"/>
    <n v="0.53573096683792598"/>
    <n v="71.032214472537049"/>
    <n v="1.9963459486130231"/>
    <n v="81176.240000000005"/>
    <d v="2024-11-08T00:00:00"/>
    <n v="77.44"/>
    <n v="223"/>
    <n v="75.969262027090153"/>
    <n v="1.4078119447995341E-2"/>
    <n v="0.50091518491309495"/>
  </r>
  <r>
    <s v="C245"/>
    <x v="2"/>
    <d v="2024-05-15T00:00:00"/>
    <d v="2024-04-08T00:00:00"/>
    <x v="3"/>
    <x v="1"/>
    <x v="3"/>
    <x v="0"/>
    <x v="244"/>
    <n v="1764423"/>
    <n v="19019"/>
    <n v="1083"/>
    <n v="97445.02"/>
    <x v="2"/>
    <n v="7"/>
    <n v="1.0779161232879E-2"/>
    <n v="5.6943056943056999E-2"/>
    <n v="28.285290858725762"/>
    <n v="3.1810503519573845"/>
    <n v="66812.05"/>
    <d v="2024-06-14T00:00:00"/>
    <n v="21.71"/>
    <n v="30"/>
    <n v="5.1235617014564383"/>
    <n v="3.5354064591190469E-2"/>
    <n v="0.31436157537860798"/>
  </r>
  <r>
    <s v="C246"/>
    <x v="2"/>
    <d v="2024-07-04T00:00:00"/>
    <d v="2024-06-26T00:00:00"/>
    <x v="5"/>
    <x v="0"/>
    <x v="1"/>
    <x v="0"/>
    <x v="245"/>
    <n v="1360875"/>
    <n v="21384"/>
    <n v="1557"/>
    <n v="80858.03"/>
    <x v="0"/>
    <n v="7"/>
    <n v="1.5713419674841599E-2"/>
    <n v="7.2811447811447799E-2"/>
    <n v="53.55150289017341"/>
    <n v="0.96975690362964884"/>
    <n v="-2521.6600000000035"/>
    <d v="2024-08-03T00:00:00"/>
    <n v="67.8"/>
    <n v="30"/>
    <n v="3.7812397119341563"/>
    <n v="1.8673612242981474E-2"/>
    <n v="1.03118626560652"/>
  </r>
  <r>
    <s v="C247"/>
    <x v="0"/>
    <d v="2024-06-26T00:00:00"/>
    <d v="2024-02-10T00:00:00"/>
    <x v="4"/>
    <x v="0"/>
    <x v="2"/>
    <x v="0"/>
    <x v="246"/>
    <n v="173950"/>
    <n v="43903"/>
    <n v="1529"/>
    <n v="221079.18"/>
    <x v="1"/>
    <n v="4"/>
    <n v="0.25238861741879798"/>
    <n v="3.4826777213402299E-2"/>
    <n v="34.227789404839768"/>
    <n v="4.2243657074549015"/>
    <n v="168744.88999999998"/>
    <d v="2024-07-26T00:00:00"/>
    <n v="74.489999999999995"/>
    <n v="30"/>
    <n v="5.0356280891966376"/>
    <n v="2.9216026433147368E-2"/>
    <n v="0.23672192922011001"/>
  </r>
  <r>
    <s v="C248"/>
    <x v="4"/>
    <d v="2024-01-28T00:00:00"/>
    <d v="2024-10-10T00:00:00"/>
    <x v="1"/>
    <x v="3"/>
    <x v="3"/>
    <x v="2"/>
    <x v="247"/>
    <n v="379638"/>
    <n v="46734"/>
    <n v="1639"/>
    <n v="120400.57"/>
    <x v="0"/>
    <n v="7"/>
    <n v="0.12310148088442099"/>
    <n v="3.5070826379081599E-2"/>
    <n v="7.5171079926784632"/>
    <n v="9.7723452056484543"/>
    <n v="108080.03"/>
    <d v="2024-10-10T00:00:00"/>
    <n v="37.85"/>
    <n v="256"/>
    <n v="2.5762949886592206"/>
    <n v="0.13302988343043404"/>
    <n v="0.102329581994504"/>
  </r>
  <r>
    <s v="C249"/>
    <x v="0"/>
    <d v="2024-08-07T00:00:00"/>
    <d v="2024-03-08T00:00:00"/>
    <x v="4"/>
    <x v="2"/>
    <x v="0"/>
    <x v="2"/>
    <x v="248"/>
    <n v="650517"/>
    <n v="37129"/>
    <n v="1637"/>
    <n v="32812.730000000003"/>
    <x v="1"/>
    <n v="4"/>
    <n v="5.7076140977099801E-2"/>
    <n v="4.4089525707667901E-2"/>
    <n v="6.4522541233964574"/>
    <n v="3.1065777091061264"/>
    <n v="22250.390000000003"/>
    <d v="2024-09-06T00:00:00"/>
    <n v="20.76"/>
    <n v="30"/>
    <n v="0.88374936033828011"/>
    <n v="0.15498459621636873"/>
    <n v="0.32189762936518801"/>
  </r>
  <r>
    <s v="C250"/>
    <x v="2"/>
    <d v="2024-02-10T00:00:00"/>
    <d v="2024-06-12T00:00:00"/>
    <x v="4"/>
    <x v="0"/>
    <x v="2"/>
    <x v="2"/>
    <x v="249"/>
    <n v="1203224"/>
    <n v="23967"/>
    <n v="709"/>
    <n v="208419.22"/>
    <x v="2"/>
    <n v="8"/>
    <n v="1.9918984328770001E-2"/>
    <n v="2.95823423874494E-2"/>
    <n v="51.837291960507756"/>
    <n v="5.6708639161703758"/>
    <n v="171666.58000000002"/>
    <d v="2024-06-12T00:00:00"/>
    <n v="39.299999999999997"/>
    <n v="123"/>
    <n v="8.696091292193433"/>
    <n v="1.9291131194929128E-2"/>
    <n v="0.176339974787354"/>
  </r>
  <r>
    <s v="C251"/>
    <x v="4"/>
    <d v="2024-08-15T00:00:00"/>
    <d v="2024-08-17T00:00:00"/>
    <x v="5"/>
    <x v="0"/>
    <x v="1"/>
    <x v="1"/>
    <x v="250"/>
    <n v="88547"/>
    <n v="41603"/>
    <n v="209"/>
    <n v="21433.9"/>
    <x v="2"/>
    <n v="9"/>
    <n v="0.46984087546726599"/>
    <n v="5.0236761771987604E-3"/>
    <n v="380.69478468899524"/>
    <n v="0.26938783923275011"/>
    <n v="-58131.310000000005"/>
    <d v="2024-08-17T00:00:00"/>
    <n v="44.26"/>
    <n v="2"/>
    <n v="0.51520082686344737"/>
    <n v="2.6267762003016142E-3"/>
    <n v="3.7121200528135301"/>
  </r>
  <r>
    <s v="C252"/>
    <x v="0"/>
    <d v="2024-07-10T00:00:00"/>
    <d v="2024-02-22T00:00:00"/>
    <x v="1"/>
    <x v="2"/>
    <x v="1"/>
    <x v="1"/>
    <x v="251"/>
    <n v="603083"/>
    <n v="12172"/>
    <n v="1955"/>
    <n v="184419.81"/>
    <x v="1"/>
    <n v="9"/>
    <n v="2.0182959891092901E-2"/>
    <n v="0.16061452513966501"/>
    <n v="36.946132992327364"/>
    <n v="2.5532410564132282"/>
    <n v="112190.12"/>
    <d v="2024-08-09T00:00:00"/>
    <n v="12.11"/>
    <n v="30"/>
    <n v="15.151151002300361"/>
    <n v="2.7066432100151614E-2"/>
    <n v="0.39165906309088999"/>
  </r>
  <r>
    <s v="C253"/>
    <x v="0"/>
    <d v="2024-05-24T00:00:00"/>
    <d v="2024-09-04T00:00:00"/>
    <x v="0"/>
    <x v="0"/>
    <x v="1"/>
    <x v="2"/>
    <x v="252"/>
    <n v="236368"/>
    <n v="17390"/>
    <n v="1087"/>
    <n v="195737.49"/>
    <x v="1"/>
    <n v="8"/>
    <n v="7.3571718675962905E-2"/>
    <n v="6.2507188039102907E-2"/>
    <n v="73.522005519779214"/>
    <n v="2.449216213233445"/>
    <n v="115819.06999999999"/>
    <d v="2024-09-04T00:00:00"/>
    <n v="25.03"/>
    <n v="103"/>
    <n v="11.255749856239218"/>
    <n v="1.3601369997054497E-2"/>
    <n v="0.40829388381346898"/>
  </r>
  <r>
    <s v="C254"/>
    <x v="2"/>
    <d v="2024-07-19T00:00:00"/>
    <d v="2024-06-19T00:00:00"/>
    <x v="0"/>
    <x v="0"/>
    <x v="0"/>
    <x v="1"/>
    <x v="253"/>
    <n v="595735"/>
    <n v="4267"/>
    <n v="1251"/>
    <n v="94624.63"/>
    <x v="1"/>
    <n v="8"/>
    <n v="7.1625806776502996E-3"/>
    <n v="0.29318022029528901"/>
    <n v="43.27782573940847"/>
    <n v="1.7477586120276556"/>
    <n v="40484.070000000007"/>
    <d v="2024-08-18T00:00:00"/>
    <n v="34.869999999999997"/>
    <n v="30"/>
    <n v="22.175915162877903"/>
    <n v="2.3106521247656102E-2"/>
    <n v="0.57216139180676295"/>
  </r>
  <r>
    <s v="C255"/>
    <x v="4"/>
    <d v="2024-07-30T00:00:00"/>
    <d v="2024-05-13T00:00:00"/>
    <x v="4"/>
    <x v="3"/>
    <x v="3"/>
    <x v="0"/>
    <x v="254"/>
    <n v="1790534"/>
    <n v="40332"/>
    <n v="461"/>
    <n v="207949.09"/>
    <x v="2"/>
    <n v="6"/>
    <n v="2.2525123789886099E-2"/>
    <n v="1.14301299216503E-2"/>
    <n v="101.5594360086768"/>
    <n v="4.4415629158309997"/>
    <n v="161130.19"/>
    <d v="2024-08-29T00:00:00"/>
    <n v="62.52"/>
    <n v="30"/>
    <n v="5.1559330060497865"/>
    <n v="9.8464508991027121E-3"/>
    <n v="0.22514597202613401"/>
  </r>
  <r>
    <s v="C256"/>
    <x v="2"/>
    <d v="2024-08-07T00:00:00"/>
    <d v="2024-08-27T00:00:00"/>
    <x v="1"/>
    <x v="1"/>
    <x v="0"/>
    <x v="0"/>
    <x v="255"/>
    <n v="1844687"/>
    <n v="27167"/>
    <n v="1951"/>
    <n v="133758.26"/>
    <x v="0"/>
    <n v="8"/>
    <n v="1.4727159675326999E-2"/>
    <n v="7.1815069753745395E-2"/>
    <n v="9.7426909277293703"/>
    <n v="7.0369491987316914"/>
    <n v="114750.27"/>
    <d v="2024-08-27T00:00:00"/>
    <n v="57.42"/>
    <n v="20"/>
    <n v="4.9235565207788863"/>
    <n v="0.10264104726486072"/>
    <n v="0.14210703697850099"/>
  </r>
  <r>
    <s v="C257"/>
    <x v="4"/>
    <d v="2024-08-27T00:00:00"/>
    <d v="2024-05-20T00:00:00"/>
    <x v="1"/>
    <x v="1"/>
    <x v="2"/>
    <x v="0"/>
    <x v="256"/>
    <n v="1354766"/>
    <n v="22312"/>
    <n v="1061"/>
    <n v="121190.48"/>
    <x v="2"/>
    <n v="7"/>
    <n v="1.6469264802925401E-2"/>
    <n v="4.75528863391897E-2"/>
    <n v="34.098312912346842"/>
    <n v="3.3498104250861913"/>
    <n v="85012.17"/>
    <d v="2024-09-26T00:00:00"/>
    <n v="57.09"/>
    <n v="30"/>
    <n v="5.4316278235926854"/>
    <n v="2.9326964139563181E-2"/>
    <n v="0.29852435603852701"/>
  </r>
  <r>
    <s v="C258"/>
    <x v="1"/>
    <d v="2024-02-15T00:00:00"/>
    <d v="2024-05-13T00:00:00"/>
    <x v="5"/>
    <x v="1"/>
    <x v="1"/>
    <x v="2"/>
    <x v="257"/>
    <n v="256402"/>
    <n v="28840"/>
    <n v="102"/>
    <n v="20896.79"/>
    <x v="1"/>
    <n v="9"/>
    <n v="0.112479621843823"/>
    <n v="3.5367545076282901E-3"/>
    <n v="453.25333333333327"/>
    <n v="0.45199996366140743"/>
    <n v="-25335.049999999996"/>
    <d v="2024-05-13T00:00:00"/>
    <n v="15.76"/>
    <n v="88"/>
    <n v="0.72457662968099867"/>
    <n v="2.2062716950050011E-3"/>
    <n v="2.21238955839629"/>
  </r>
  <r>
    <s v="C259"/>
    <x v="3"/>
    <d v="2024-02-04T00:00:00"/>
    <d v="2024-07-19T00:00:00"/>
    <x v="3"/>
    <x v="1"/>
    <x v="0"/>
    <x v="1"/>
    <x v="258"/>
    <n v="1350995"/>
    <n v="19990"/>
    <n v="457"/>
    <n v="79607.009999999995"/>
    <x v="1"/>
    <n v="5"/>
    <n v="1.4796501837534601E-2"/>
    <n v="2.2861430715357699E-2"/>
    <n v="29.358949671772432"/>
    <n v="5.9332766392587333"/>
    <n v="66189.97"/>
    <d v="2024-07-19T00:00:00"/>
    <n v="72.69"/>
    <n v="166"/>
    <n v="3.9823416708354173"/>
    <n v="3.4061164012330586E-2"/>
    <n v="0.168540936281868"/>
  </r>
  <r>
    <s v="C260"/>
    <x v="3"/>
    <d v="2024-09-09T00:00:00"/>
    <d v="2024-06-11T00:00:00"/>
    <x v="0"/>
    <x v="0"/>
    <x v="0"/>
    <x v="2"/>
    <x v="259"/>
    <n v="804105"/>
    <n v="45179"/>
    <n v="896"/>
    <n v="233442.39"/>
    <x v="2"/>
    <n v="9"/>
    <n v="5.6185448417806101E-2"/>
    <n v="1.9832222935434601E-2"/>
    <n v="28.971138392857142"/>
    <n v="8.9930322434504166"/>
    <n v="207484.25"/>
    <d v="2024-10-09T00:00:00"/>
    <n v="15.79"/>
    <n v="30"/>
    <n v="5.1670552690409268"/>
    <n v="3.4517111010264986E-2"/>
    <n v="0.111197199446082"/>
  </r>
  <r>
    <s v="C261"/>
    <x v="3"/>
    <d v="2024-03-22T00:00:00"/>
    <d v="2024-11-18T00:00:00"/>
    <x v="5"/>
    <x v="2"/>
    <x v="3"/>
    <x v="1"/>
    <x v="260"/>
    <n v="1972968"/>
    <n v="6906"/>
    <n v="1095"/>
    <n v="104037.75"/>
    <x v="1"/>
    <n v="4"/>
    <n v="3.5003101925626802E-3"/>
    <n v="0.15855777584708999"/>
    <n v="56.467031963470319"/>
    <n v="1.682603822653215"/>
    <n v="42206.35"/>
    <d v="2024-11-18T00:00:00"/>
    <n v="68.67"/>
    <n v="241"/>
    <n v="15.064834926151173"/>
    <n v="1.7709448597314631E-2"/>
    <n v="0.59431696667796097"/>
  </r>
  <r>
    <s v="C262"/>
    <x v="2"/>
    <d v="2024-09-12T00:00:00"/>
    <d v="2024-06-05T00:00:00"/>
    <x v="2"/>
    <x v="2"/>
    <x v="3"/>
    <x v="0"/>
    <x v="261"/>
    <n v="899710"/>
    <n v="49796"/>
    <n v="1103"/>
    <n v="141208.12"/>
    <x v="2"/>
    <n v="9"/>
    <n v="5.5346722832912802E-2"/>
    <n v="2.21503735239778E-2"/>
    <n v="67.894832275611961"/>
    <n v="1.8855907488516184"/>
    <n v="66320.12"/>
    <d v="2024-10-12T00:00:00"/>
    <n v="66.27"/>
    <n v="30"/>
    <n v="2.8357321873242829"/>
    <n v="1.4728661467791903E-2"/>
    <n v="0.53033777377674896"/>
  </r>
  <r>
    <s v="C263"/>
    <x v="1"/>
    <d v="2024-07-15T00:00:00"/>
    <d v="2024-05-15T00:00:00"/>
    <x v="0"/>
    <x v="3"/>
    <x v="1"/>
    <x v="2"/>
    <x v="262"/>
    <n v="629365"/>
    <n v="41379"/>
    <n v="752"/>
    <n v="137685.20000000001"/>
    <x v="1"/>
    <n v="6"/>
    <n v="6.5747221405702605E-2"/>
    <n v="1.81734696343556E-2"/>
    <n v="132.76996010638297"/>
    <n v="1.3790169186606054"/>
    <n v="37842.190000000017"/>
    <d v="2024-08-14T00:00:00"/>
    <n v="57.18"/>
    <n v="30"/>
    <n v="3.3274172889630007"/>
    <n v="7.5318242108285798E-3"/>
    <n v="0.725154264946414"/>
  </r>
  <r>
    <s v="C264"/>
    <x v="4"/>
    <d v="2024-01-10T00:00:00"/>
    <d v="2024-05-01T00:00:00"/>
    <x v="5"/>
    <x v="3"/>
    <x v="0"/>
    <x v="1"/>
    <x v="263"/>
    <n v="162782"/>
    <n v="18297"/>
    <n v="309"/>
    <n v="151703.46"/>
    <x v="0"/>
    <n v="8"/>
    <n v="0.112401862613803"/>
    <n v="1.6888014428594798E-2"/>
    <n v="303.0607443365696"/>
    <n v="1.6199713024944959"/>
    <n v="58057.689999999988"/>
    <d v="2024-05-01T00:00:00"/>
    <n v="66.2"/>
    <n v="112"/>
    <n v="8.2911657648794872"/>
    <n v="3.2996685274732642E-3"/>
    <n v="0.61729488569344404"/>
  </r>
  <r>
    <s v="C265"/>
    <x v="0"/>
    <d v="2024-10-12T00:00:00"/>
    <d v="2024-11-12T00:00:00"/>
    <x v="0"/>
    <x v="0"/>
    <x v="0"/>
    <x v="1"/>
    <x v="264"/>
    <n v="1089550"/>
    <n v="3011"/>
    <n v="1278"/>
    <n v="24719.43"/>
    <x v="0"/>
    <n v="8"/>
    <n v="2.7635262264237501E-3"/>
    <n v="0.42444370640983098"/>
    <n v="51.677378716744919"/>
    <n v="0.37428905017269626"/>
    <n v="-41324.26"/>
    <d v="2024-11-12T00:00:00"/>
    <n v="46.73"/>
    <n v="31"/>
    <n v="8.2097077382929253"/>
    <n v="1.935082670274783E-2"/>
    <n v="2.6717319129122301"/>
  </r>
  <r>
    <s v="C266"/>
    <x v="4"/>
    <d v="2024-08-29T00:00:00"/>
    <d v="2024-03-21T00:00:00"/>
    <x v="3"/>
    <x v="2"/>
    <x v="3"/>
    <x v="0"/>
    <x v="265"/>
    <n v="677220"/>
    <n v="45014"/>
    <n v="1132"/>
    <n v="96922.3"/>
    <x v="1"/>
    <n v="9"/>
    <n v="6.6468798913203994E-2"/>
    <n v="2.5147731816768101E-2"/>
    <n v="39.769054770318021"/>
    <n v="2.1529404421331022"/>
    <n v="51903.73"/>
    <d v="2024-09-28T00:00:00"/>
    <n v="41.43"/>
    <n v="30"/>
    <n v="2.1531590171946506"/>
    <n v="2.5145178978363818E-2"/>
    <n v="0.46448103274478603"/>
  </r>
  <r>
    <s v="C267"/>
    <x v="0"/>
    <d v="2024-09-07T00:00:00"/>
    <d v="2024-02-28T00:00:00"/>
    <x v="2"/>
    <x v="2"/>
    <x v="0"/>
    <x v="2"/>
    <x v="266"/>
    <n v="1061316"/>
    <n v="47558"/>
    <n v="1544"/>
    <n v="183550.79"/>
    <x v="2"/>
    <n v="5"/>
    <n v="4.4810405195059702E-2"/>
    <n v="3.24656209260272E-2"/>
    <n v="42.381379533678754"/>
    <n v="2.805006506272842"/>
    <n v="118113.94"/>
    <d v="2024-10-07T00:00:00"/>
    <n v="26.67"/>
    <n v="30"/>
    <n v="3.8595144875730689"/>
    <n v="2.3595267803997289E-2"/>
    <n v="0.356505411935301"/>
  </r>
  <r>
    <s v="C268"/>
    <x v="4"/>
    <d v="2024-01-05T00:00:00"/>
    <d v="2024-11-21T00:00:00"/>
    <x v="3"/>
    <x v="1"/>
    <x v="0"/>
    <x v="2"/>
    <x v="267"/>
    <n v="493316"/>
    <n v="12738"/>
    <n v="825"/>
    <n v="58134.46"/>
    <x v="0"/>
    <n v="5"/>
    <n v="2.58211775008311E-2"/>
    <n v="6.4766839378238295E-2"/>
    <n v="96.529575757575756"/>
    <n v="0.7299940103143141"/>
    <n v="-21502.439999999995"/>
    <d v="2024-11-21T00:00:00"/>
    <n v="21.95"/>
    <n v="321"/>
    <n v="4.5638608886795415"/>
    <n v="1.035951926807799E-2"/>
    <n v="1.36987425358385"/>
  </r>
  <r>
    <s v="C269"/>
    <x v="1"/>
    <d v="2024-04-28T00:00:00"/>
    <d v="2024-11-22T00:00:00"/>
    <x v="2"/>
    <x v="0"/>
    <x v="0"/>
    <x v="2"/>
    <x v="268"/>
    <n v="1470589"/>
    <n v="29797"/>
    <n v="1539"/>
    <n v="58858.81"/>
    <x v="2"/>
    <n v="6"/>
    <n v="2.0261949463786299E-2"/>
    <n v="5.1649494915595499E-2"/>
    <n v="10.553567251461988"/>
    <n v="3.6238780589018305"/>
    <n v="42616.869999999995"/>
    <d v="2024-11-22T00:00:00"/>
    <n v="78.27"/>
    <n v="208"/>
    <n v="1.9753267107426922"/>
    <n v="9.4754690634246894E-2"/>
    <n v="0.27594747498292999"/>
  </r>
  <r>
    <s v="C270"/>
    <x v="0"/>
    <d v="2024-10-15T00:00:00"/>
    <d v="2024-08-31T00:00:00"/>
    <x v="4"/>
    <x v="0"/>
    <x v="3"/>
    <x v="0"/>
    <x v="269"/>
    <n v="1409501"/>
    <n v="48498"/>
    <n v="1085"/>
    <n v="12421.75"/>
    <x v="1"/>
    <n v="4"/>
    <n v="3.4407921668732397E-2"/>
    <n v="2.2372056579652799E-2"/>
    <n v="40.49858064516129"/>
    <n v="0.28269182102530305"/>
    <n v="-31519.21"/>
    <d v="2024-11-14T00:00:00"/>
    <n v="50.82"/>
    <n v="30"/>
    <n v="0.25612911872654542"/>
    <n v="2.469222338337624E-2"/>
    <n v="3.5374210558093702"/>
  </r>
  <r>
    <s v="C271"/>
    <x v="2"/>
    <d v="2024-03-05T00:00:00"/>
    <d v="2024-10-23T00:00:00"/>
    <x v="5"/>
    <x v="1"/>
    <x v="1"/>
    <x v="2"/>
    <x v="270"/>
    <n v="1284915"/>
    <n v="12120"/>
    <n v="1704"/>
    <n v="114995.66"/>
    <x v="2"/>
    <n v="9"/>
    <n v="9.4325305564959602E-3"/>
    <n v="0.140594059405941"/>
    <n v="49.754237089201879"/>
    <n v="1.3563812834965103"/>
    <n v="30214.440000000002"/>
    <d v="2024-10-23T00:00:00"/>
    <n v="14.63"/>
    <n v="232"/>
    <n v="9.4880907590759076"/>
    <n v="2.0098790746346892E-2"/>
    <n v="0.73725582339368301"/>
  </r>
  <r>
    <s v="C272"/>
    <x v="4"/>
    <d v="2024-05-25T00:00:00"/>
    <d v="2024-10-13T00:00:00"/>
    <x v="2"/>
    <x v="0"/>
    <x v="2"/>
    <x v="0"/>
    <x v="271"/>
    <n v="525595"/>
    <n v="9767"/>
    <n v="1363"/>
    <n v="221856.25"/>
    <x v="0"/>
    <n v="8"/>
    <n v="1.8582749074858001E-2"/>
    <n v="0.13955155114159901"/>
    <n v="30.421225238444606"/>
    <n v="5.3505584224243945"/>
    <n v="180392.12"/>
    <d v="2024-10-13T00:00:00"/>
    <n v="38.78"/>
    <n v="141"/>
    <n v="22.714881744650352"/>
    <n v="3.2871785806189595E-2"/>
    <n v="0.18689637997577299"/>
  </r>
  <r>
    <s v="C273"/>
    <x v="4"/>
    <d v="2024-08-11T00:00:00"/>
    <d v="2024-05-10T00:00:00"/>
    <x v="3"/>
    <x v="0"/>
    <x v="1"/>
    <x v="0"/>
    <x v="272"/>
    <n v="1515744"/>
    <n v="23852"/>
    <n v="899"/>
    <n v="22456.23"/>
    <x v="2"/>
    <n v="9"/>
    <n v="1.57361665294403E-2"/>
    <n v="3.7690759684722498E-2"/>
    <n v="65.993181312569519"/>
    <n v="0.37851063926616613"/>
    <n v="-36871.64"/>
    <d v="2024-09-10T00:00:00"/>
    <n v="10.72"/>
    <n v="30"/>
    <n v="0.94148205601207446"/>
    <n v="1.5153080668495262E-2"/>
    <n v="2.6419336638429498"/>
  </r>
  <r>
    <s v="C274"/>
    <x v="0"/>
    <d v="2024-08-26T00:00:00"/>
    <d v="2024-05-19T00:00:00"/>
    <x v="0"/>
    <x v="3"/>
    <x v="2"/>
    <x v="0"/>
    <x v="273"/>
    <n v="1938806"/>
    <n v="14703"/>
    <n v="1833"/>
    <n v="55868.49"/>
    <x v="2"/>
    <n v="6"/>
    <n v="7.5835333705383604E-3"/>
    <n v="0.124668435013263"/>
    <n v="33.190447354064375"/>
    <n v="0.9183143323533004"/>
    <n v="-4969.5999999999985"/>
    <d v="2024-09-25T00:00:00"/>
    <n v="35.299999999999997"/>
    <n v="30"/>
    <n v="3.7998020812079165"/>
    <n v="3.0129150997343937E-2"/>
    <n v="1.08895175079906"/>
  </r>
  <r>
    <s v="C275"/>
    <x v="2"/>
    <d v="2024-06-25T00:00:00"/>
    <d v="2024-07-30T00:00:00"/>
    <x v="2"/>
    <x v="2"/>
    <x v="0"/>
    <x v="1"/>
    <x v="274"/>
    <n v="1197272"/>
    <n v="1929"/>
    <n v="403"/>
    <n v="84420.29"/>
    <x v="1"/>
    <n v="7"/>
    <n v="1.6111627098938301E-3"/>
    <n v="0.20891653706583699"/>
    <n v="55.893895781637724"/>
    <n v="3.7478086803958575"/>
    <n v="61895.049999999988"/>
    <d v="2024-07-30T00:00:00"/>
    <n v="44.03"/>
    <n v="35"/>
    <n v="43.763758424053911"/>
    <n v="1.789104133851626E-2"/>
    <n v="0.26682258494966099"/>
  </r>
  <r>
    <s v="C276"/>
    <x v="2"/>
    <d v="2024-09-23T00:00:00"/>
    <d v="2024-01-31T00:00:00"/>
    <x v="5"/>
    <x v="0"/>
    <x v="1"/>
    <x v="2"/>
    <x v="275"/>
    <n v="1602226"/>
    <n v="12951"/>
    <n v="1712"/>
    <n v="185613.94"/>
    <x v="1"/>
    <n v="7"/>
    <n v="8.0831293462969595E-3"/>
    <n v="0.13219056443517899"/>
    <n v="23.021244158878506"/>
    <n v="4.7095351028116301"/>
    <n v="146201.57"/>
    <d v="2024-10-23T00:00:00"/>
    <n v="37.450000000000003"/>
    <n v="30"/>
    <n v="14.332016060535866"/>
    <n v="4.3438138838136346E-2"/>
    <n v="0.21233518344581201"/>
  </r>
  <r>
    <s v="C277"/>
    <x v="1"/>
    <d v="2024-10-08T00:00:00"/>
    <d v="2024-03-25T00:00:00"/>
    <x v="2"/>
    <x v="3"/>
    <x v="2"/>
    <x v="2"/>
    <x v="276"/>
    <n v="100939"/>
    <n v="27039"/>
    <n v="1148"/>
    <n v="163752.54"/>
    <x v="1"/>
    <n v="6"/>
    <n v="0.26787465697104201"/>
    <n v="4.24571914641814E-2"/>
    <n v="32.037081881533098"/>
    <n v="4.4523900738935751"/>
    <n v="126973.97"/>
    <d v="2024-11-07T00:00:00"/>
    <n v="19.89"/>
    <n v="30"/>
    <n v="6.0561611006324201"/>
    <n v="3.1213829140175925E-2"/>
    <n v="0.224598470350445"/>
  </r>
  <r>
    <s v="C278"/>
    <x v="2"/>
    <d v="2024-03-03T00:00:00"/>
    <d v="2024-06-27T00:00:00"/>
    <x v="1"/>
    <x v="2"/>
    <x v="3"/>
    <x v="0"/>
    <x v="277"/>
    <n v="1914524"/>
    <n v="49613"/>
    <n v="922"/>
    <n v="109826.54"/>
    <x v="0"/>
    <n v="8"/>
    <n v="2.5914013091504699E-2"/>
    <n v="1.85838389131881E-2"/>
    <n v="8.1222234273318872"/>
    <n v="14.665654473612875"/>
    <n v="102337.84999999999"/>
    <d v="2024-06-27T00:00:00"/>
    <n v="61.62"/>
    <n v="116"/>
    <n v="2.2136645637232175"/>
    <n v="0.1231189967804783"/>
    <n v="6.8186523949493399E-2"/>
  </r>
  <r>
    <s v="C279"/>
    <x v="2"/>
    <d v="2024-08-04T00:00:00"/>
    <d v="2024-06-15T00:00:00"/>
    <x v="0"/>
    <x v="1"/>
    <x v="3"/>
    <x v="0"/>
    <x v="278"/>
    <n v="1810462"/>
    <n v="30504"/>
    <n v="1789"/>
    <n v="192176.55"/>
    <x v="0"/>
    <n v="6"/>
    <n v="1.6848738056915901E-2"/>
    <n v="5.8648046157880898E-2"/>
    <n v="4.0794969256567919"/>
    <n v="26.331975467990823"/>
    <n v="184878.33"/>
    <d v="2024-09-03T00:00:00"/>
    <n v="34.159999999999997"/>
    <n v="30"/>
    <n v="6.3000442564909518"/>
    <n v="0.24512826415208092"/>
    <n v="3.7976641791103001E-2"/>
  </r>
  <r>
    <s v="C280"/>
    <x v="2"/>
    <d v="2024-10-09T00:00:00"/>
    <d v="2024-08-19T00:00:00"/>
    <x v="5"/>
    <x v="3"/>
    <x v="1"/>
    <x v="2"/>
    <x v="279"/>
    <n v="191521"/>
    <n v="18438"/>
    <n v="1634"/>
    <n v="156311.44"/>
    <x v="1"/>
    <n v="8"/>
    <n v="9.6271427154202394E-2"/>
    <n v="8.8621325523375594E-2"/>
    <n v="51.414455324357405"/>
    <n v="1.8606019529296205"/>
    <n v="72300.22"/>
    <d v="2024-11-08T00:00:00"/>
    <n v="21.51"/>
    <n v="30"/>
    <n v="8.4776787070181143"/>
    <n v="1.9449783017077955E-2"/>
    <n v="0.53746046994385099"/>
  </r>
  <r>
    <s v="C281"/>
    <x v="3"/>
    <d v="2024-06-25T00:00:00"/>
    <d v="2024-05-26T00:00:00"/>
    <x v="5"/>
    <x v="3"/>
    <x v="1"/>
    <x v="0"/>
    <x v="280"/>
    <n v="1673154"/>
    <n v="49515"/>
    <n v="1664"/>
    <n v="225049.79"/>
    <x v="1"/>
    <n v="5"/>
    <n v="2.9593809057624099E-2"/>
    <n v="3.3605977986468798E-2"/>
    <n v="18.594789663461537"/>
    <n v="7.2733421822244591"/>
    <n v="194108.06"/>
    <d v="2024-07-25T00:00:00"/>
    <n v="39.630000000000003"/>
    <n v="30"/>
    <n v="4.5450831061294563"/>
    <n v="5.3778505597456901E-2"/>
    <n v="0.13748837535018399"/>
  </r>
  <r>
    <s v="C282"/>
    <x v="1"/>
    <d v="2024-04-07T00:00:00"/>
    <d v="2024-07-02T00:00:00"/>
    <x v="4"/>
    <x v="2"/>
    <x v="0"/>
    <x v="2"/>
    <x v="281"/>
    <n v="923093"/>
    <n v="6744"/>
    <n v="1514"/>
    <n v="206326.42"/>
    <x v="0"/>
    <n v="6"/>
    <n v="7.3058727560494996E-3"/>
    <n v="0.224495848161329"/>
    <n v="35.810752972258918"/>
    <n v="3.8055331970427249"/>
    <n v="152108.94"/>
    <d v="2024-07-02T00:00:00"/>
    <n v="60.75"/>
    <n v="86"/>
    <n v="30.594071767497038"/>
    <n v="2.7924573403264038E-2"/>
    <n v="0.262775266492774"/>
  </r>
  <r>
    <s v="C283"/>
    <x v="4"/>
    <d v="2024-04-14T00:00:00"/>
    <d v="2024-11-16T00:00:00"/>
    <x v="3"/>
    <x v="1"/>
    <x v="1"/>
    <x v="1"/>
    <x v="282"/>
    <n v="1433674"/>
    <n v="19284"/>
    <n v="1040"/>
    <n v="70675.27"/>
    <x v="0"/>
    <n v="8"/>
    <n v="1.3450756587620301E-2"/>
    <n v="5.3930719767683002E-2"/>
    <n v="32.095125000000003"/>
    <n v="2.117361760847337"/>
    <n v="37296.340000000004"/>
    <d v="2024-11-16T00:00:00"/>
    <n v="62.77"/>
    <n v="216"/>
    <n v="3.6649694046878243"/>
    <n v="3.1157379820144025E-2"/>
    <n v="0.472285850482071"/>
  </r>
  <r>
    <s v="C284"/>
    <x v="0"/>
    <d v="2024-04-08T00:00:00"/>
    <d v="2024-04-02T00:00:00"/>
    <x v="4"/>
    <x v="3"/>
    <x v="0"/>
    <x v="0"/>
    <x v="283"/>
    <n v="859178"/>
    <n v="43417"/>
    <n v="1314"/>
    <n v="75145.259999999995"/>
    <x v="0"/>
    <n v="6"/>
    <n v="5.0533184043353101E-2"/>
    <n v="3.02646428818205E-2"/>
    <n v="71.814710806697107"/>
    <n v="0.79632951067525048"/>
    <n v="-19219.270000000004"/>
    <d v="2024-05-08T00:00:00"/>
    <n v="50.2"/>
    <n v="30"/>
    <n v="1.7307796485247713"/>
    <n v="1.3924723622318683E-2"/>
    <n v="1.2557615743162001"/>
  </r>
  <r>
    <s v="C285"/>
    <x v="4"/>
    <d v="2024-01-06T00:00:00"/>
    <d v="2024-09-30T00:00:00"/>
    <x v="5"/>
    <x v="0"/>
    <x v="0"/>
    <x v="2"/>
    <x v="284"/>
    <n v="1690854"/>
    <n v="40748"/>
    <n v="1067"/>
    <n v="40085.550000000003"/>
    <x v="0"/>
    <n v="6"/>
    <n v="2.40990647329693E-2"/>
    <n v="2.61853342495337E-2"/>
    <n v="27.772436738519211"/>
    <n v="1.3527247657103405"/>
    <n v="10452.360000000004"/>
    <d v="2024-09-30T00:00:00"/>
    <n v="52.58"/>
    <n v="268"/>
    <n v="0.98374276038087771"/>
    <n v="3.600692331807679E-2"/>
    <n v="0.73924868188162596"/>
  </r>
  <r>
    <s v="C286"/>
    <x v="1"/>
    <d v="2024-07-15T00:00:00"/>
    <d v="2024-02-24T00:00:00"/>
    <x v="0"/>
    <x v="0"/>
    <x v="3"/>
    <x v="0"/>
    <x v="285"/>
    <n v="633098"/>
    <n v="8069"/>
    <n v="1934"/>
    <n v="90871.53"/>
    <x v="1"/>
    <n v="8"/>
    <n v="1.27452621868968E-2"/>
    <n v="0.239682736398562"/>
    <n v="23.690486039296793"/>
    <n v="1.9833410451051345"/>
    <n v="45054.13"/>
    <d v="2024-08-14T00:00:00"/>
    <n v="26.41"/>
    <n v="30"/>
    <n v="11.261808154666005"/>
    <n v="4.2211037728024724E-2"/>
    <n v="0.50419972019839399"/>
  </r>
  <r>
    <s v="C287"/>
    <x v="0"/>
    <d v="2024-05-12T00:00:00"/>
    <d v="2024-04-29T00:00:00"/>
    <x v="2"/>
    <x v="0"/>
    <x v="3"/>
    <x v="2"/>
    <x v="286"/>
    <n v="692650"/>
    <n v="43359"/>
    <n v="1227"/>
    <n v="249890.54"/>
    <x v="0"/>
    <n v="8"/>
    <n v="6.2598715079766096E-2"/>
    <n v="2.8298623123227E-2"/>
    <n v="71.645778321108395"/>
    <n v="2.8425927748088746"/>
    <n v="161981.17000000001"/>
    <d v="2024-06-11T00:00:00"/>
    <n v="14.38"/>
    <n v="30"/>
    <n v="5.7632911275629048"/>
    <n v="1.3957556515306616E-2"/>
    <n v="0.351791508394035"/>
  </r>
  <r>
    <s v="C288"/>
    <x v="1"/>
    <d v="2024-09-15T00:00:00"/>
    <d v="2024-04-14T00:00:00"/>
    <x v="2"/>
    <x v="1"/>
    <x v="2"/>
    <x v="2"/>
    <x v="287"/>
    <n v="526513"/>
    <n v="20799"/>
    <n v="1859"/>
    <n v="107380.28"/>
    <x v="1"/>
    <n v="4"/>
    <n v="3.9503298114196603E-2"/>
    <n v="8.9379297081590495E-2"/>
    <n v="45.714733727810653"/>
    <n v="1.2635398627666086"/>
    <n v="22396.589999999997"/>
    <d v="2024-10-15T00:00:00"/>
    <n v="44.48"/>
    <n v="30"/>
    <n v="5.1627616712341942"/>
    <n v="2.1874785620629087E-2"/>
    <n v="0.79142734587765995"/>
  </r>
  <r>
    <s v="C289"/>
    <x v="2"/>
    <d v="2024-01-23T00:00:00"/>
    <d v="2024-11-19T00:00:00"/>
    <x v="0"/>
    <x v="3"/>
    <x v="3"/>
    <x v="0"/>
    <x v="288"/>
    <n v="1244871"/>
    <n v="34210"/>
    <n v="1169"/>
    <n v="62917.22"/>
    <x v="2"/>
    <n v="6"/>
    <n v="2.7480759050536201E-2"/>
    <n v="3.41712949429991E-2"/>
    <n v="19.40088109495295"/>
    <n v="2.7741731236356149"/>
    <n v="40237.589999999997"/>
    <d v="2024-11-19T00:00:00"/>
    <n v="22.97"/>
    <n v="301"/>
    <n v="1.8391470330312774"/>
    <n v="5.1544050762732899E-2"/>
    <n v="0.360467770190736"/>
  </r>
  <r>
    <s v="C290"/>
    <x v="0"/>
    <d v="2024-02-22T00:00:00"/>
    <d v="2024-08-27T00:00:00"/>
    <x v="5"/>
    <x v="0"/>
    <x v="3"/>
    <x v="1"/>
    <x v="289"/>
    <n v="515453"/>
    <n v="29226"/>
    <n v="1799"/>
    <n v="192995.89"/>
    <x v="2"/>
    <n v="7"/>
    <n v="5.6699640898394202E-2"/>
    <n v="6.15547799904195E-2"/>
    <n v="45.164596998332406"/>
    <n v="2.3753015804953312"/>
    <n v="111744.78000000001"/>
    <d v="2024-08-27T00:00:00"/>
    <n v="33.83"/>
    <n v="187"/>
    <n v="6.6035683980017801"/>
    <n v="2.2141235978191558E-2"/>
    <n v="0.42099917257305303"/>
  </r>
  <r>
    <s v="C291"/>
    <x v="2"/>
    <d v="2024-06-13T00:00:00"/>
    <d v="2024-02-16T00:00:00"/>
    <x v="2"/>
    <x v="1"/>
    <x v="1"/>
    <x v="2"/>
    <x v="290"/>
    <n v="1756533"/>
    <n v="5652"/>
    <n v="343"/>
    <n v="140193.04"/>
    <x v="0"/>
    <n v="6"/>
    <n v="3.2177021439392301E-3"/>
    <n v="6.0686482661005001E-2"/>
    <n v="141.48032069970844"/>
    <n v="2.8889252025902707"/>
    <n v="91665.290000000008"/>
    <d v="2024-07-13T00:00:00"/>
    <n v="70.95"/>
    <n v="30"/>
    <n v="24.804147204529372"/>
    <n v="7.0681208174704167E-3"/>
    <n v="0.346149495010594"/>
  </r>
  <r>
    <s v="C292"/>
    <x v="4"/>
    <d v="2024-07-20T00:00:00"/>
    <d v="2024-06-06T00:00:00"/>
    <x v="2"/>
    <x v="0"/>
    <x v="3"/>
    <x v="2"/>
    <x v="291"/>
    <n v="771037"/>
    <n v="25323"/>
    <n v="258"/>
    <n v="45904.35"/>
    <x v="2"/>
    <n v="6"/>
    <n v="3.28427818639054E-2"/>
    <n v="1.01883663073096E-2"/>
    <n v="197.21720930232559"/>
    <n v="0.90217196480329798"/>
    <n v="-4977.6900000000023"/>
    <d v="2024-08-19T00:00:00"/>
    <n v="77.260000000000005"/>
    <n v="30"/>
    <n v="1.8127532282904868"/>
    <n v="5.0705514165705623E-3"/>
    <n v="1.10843612860219"/>
  </r>
  <r>
    <s v="C293"/>
    <x v="4"/>
    <d v="2024-03-23T00:00:00"/>
    <d v="2024-10-07T00:00:00"/>
    <x v="2"/>
    <x v="2"/>
    <x v="2"/>
    <x v="2"/>
    <x v="292"/>
    <n v="1363379"/>
    <n v="43138"/>
    <n v="1416"/>
    <n v="101365.52"/>
    <x v="2"/>
    <n v="8"/>
    <n v="3.16405049513011E-2"/>
    <n v="3.2824887570123799E-2"/>
    <n v="12.486299435028247"/>
    <n v="5.7331493275115104"/>
    <n v="83684.920000000013"/>
    <d v="2024-10-07T00:00:00"/>
    <n v="72.819999999999993"/>
    <n v="198"/>
    <n v="2.3497964671519309"/>
    <n v="8.0087779826476482E-2"/>
    <n v="0.17442420262826999"/>
  </r>
  <r>
    <s v="C294"/>
    <x v="0"/>
    <d v="2024-05-24T00:00:00"/>
    <d v="2024-07-27T00:00:00"/>
    <x v="3"/>
    <x v="3"/>
    <x v="1"/>
    <x v="1"/>
    <x v="293"/>
    <n v="1185092"/>
    <n v="8597"/>
    <n v="1161"/>
    <n v="109472.73"/>
    <x v="2"/>
    <n v="6"/>
    <n v="7.2542891184819401E-3"/>
    <n v="0.135047109456787"/>
    <n v="10.901929371231697"/>
    <n v="8.6490889727063145"/>
    <n v="96815.59"/>
    <d v="2024-07-27T00:00:00"/>
    <n v="68.739999999999995"/>
    <n v="64"/>
    <n v="12.733829242759102"/>
    <n v="9.1726883008325738E-2"/>
    <n v="0.115619113545446"/>
  </r>
  <r>
    <s v="C295"/>
    <x v="0"/>
    <d v="2024-03-25T00:00:00"/>
    <d v="2024-07-30T00:00:00"/>
    <x v="3"/>
    <x v="3"/>
    <x v="2"/>
    <x v="1"/>
    <x v="294"/>
    <n v="1173143"/>
    <n v="48093"/>
    <n v="867"/>
    <n v="190919.13"/>
    <x v="0"/>
    <n v="9"/>
    <n v="4.0995002314295897E-2"/>
    <n v="1.80275715800636E-2"/>
    <n v="85.529677047289496"/>
    <n v="2.5746222433973087"/>
    <n v="116764.90000000001"/>
    <d v="2024-07-30T00:00:00"/>
    <n v="77.89"/>
    <n v="127"/>
    <n v="3.9697904060882041"/>
    <n v="1.1691848192611536E-2"/>
    <n v="0.38840649441467701"/>
  </r>
  <r>
    <s v="C296"/>
    <x v="1"/>
    <d v="2024-03-18T00:00:00"/>
    <d v="2024-06-30T00:00:00"/>
    <x v="1"/>
    <x v="1"/>
    <x v="3"/>
    <x v="0"/>
    <x v="295"/>
    <n v="1900045"/>
    <n v="38226"/>
    <n v="1849"/>
    <n v="14961.13"/>
    <x v="0"/>
    <n v="6"/>
    <n v="2.0118470878321301E-2"/>
    <n v="4.8370219222518697E-2"/>
    <n v="28.21190373174689"/>
    <n v="0.28681053013573971"/>
    <n v="-37202.68"/>
    <d v="2024-06-30T00:00:00"/>
    <n v="71.67"/>
    <n v="104"/>
    <n v="0.39138622926803746"/>
    <n v="3.5446030495088453E-2"/>
    <n v="3.4866223340081901"/>
  </r>
  <r>
    <s v="C297"/>
    <x v="1"/>
    <d v="2024-01-01T00:00:00"/>
    <d v="2024-02-24T00:00:00"/>
    <x v="4"/>
    <x v="1"/>
    <x v="2"/>
    <x v="1"/>
    <x v="296"/>
    <n v="176498"/>
    <n v="7591"/>
    <n v="439"/>
    <n v="74564.72"/>
    <x v="2"/>
    <n v="9"/>
    <n v="4.3008985937517702E-2"/>
    <n v="5.7831642734817598E-2"/>
    <n v="105.92441913439636"/>
    <n v="1.6035140885687607"/>
    <n v="28063.9"/>
    <d v="2024-02-24T00:00:00"/>
    <n v="63.24"/>
    <n v="54"/>
    <n v="9.822779607429851"/>
    <n v="9.4406937340029695E-3"/>
    <n v="0.62363031739407004"/>
  </r>
  <r>
    <s v="C298"/>
    <x v="2"/>
    <d v="2024-02-20T00:00:00"/>
    <d v="2024-07-28T00:00:00"/>
    <x v="0"/>
    <x v="3"/>
    <x v="1"/>
    <x v="0"/>
    <x v="297"/>
    <n v="752098"/>
    <n v="26833"/>
    <n v="374"/>
    <n v="134223.10999999999"/>
    <x v="1"/>
    <n v="7"/>
    <n v="3.5677531385537503E-2"/>
    <n v="1.3938061342376899E-2"/>
    <n v="198.671871657754"/>
    <n v="1.8064224082705365"/>
    <n v="59919.829999999987"/>
    <d v="2024-07-28T00:00:00"/>
    <n v="70.41"/>
    <n v="159"/>
    <n v="5.0021656169641853"/>
    <n v="5.0334251731552091E-3"/>
    <n v="0.55358037822249795"/>
  </r>
  <r>
    <s v="C299"/>
    <x v="0"/>
    <d v="2024-06-21T00:00:00"/>
    <d v="2024-08-15T00:00:00"/>
    <x v="0"/>
    <x v="0"/>
    <x v="0"/>
    <x v="0"/>
    <x v="298"/>
    <n v="1071469"/>
    <n v="12826"/>
    <n v="989"/>
    <n v="74523.22"/>
    <x v="2"/>
    <n v="8"/>
    <n v="1.1970481647159199E-2"/>
    <n v="7.7108997349134595E-2"/>
    <n v="78.588200202224471"/>
    <n v="0.95882197110200451"/>
    <n v="-3200.5099999999948"/>
    <d v="2024-08-15T00:00:00"/>
    <n v="53.58"/>
    <n v="55"/>
    <n v="5.8103243411819738"/>
    <n v="1.2724556580081784E-2"/>
    <n v="1.0429464803050601"/>
  </r>
  <r>
    <s v="C300"/>
    <x v="4"/>
    <d v="2024-07-23T00:00:00"/>
    <d v="2024-07-09T00:00:00"/>
    <x v="0"/>
    <x v="0"/>
    <x v="2"/>
    <x v="1"/>
    <x v="299"/>
    <n v="514894"/>
    <n v="27417"/>
    <n v="938"/>
    <n v="160824.17000000001"/>
    <x v="0"/>
    <n v="6"/>
    <n v="5.32478529561424E-2"/>
    <n v="3.4212350001823703E-2"/>
    <n v="21.424605543710019"/>
    <n v="8.0026835812399124"/>
    <n v="140727.89000000001"/>
    <d v="2024-08-22T00:00:00"/>
    <n v="55.4"/>
    <n v="30"/>
    <n v="5.8658558558558562"/>
    <n v="4.6675305081338436E-2"/>
    <n v="0.124958083104051"/>
  </r>
  <r>
    <s v="C301"/>
    <x v="1"/>
    <d v="2024-09-16T00:00:00"/>
    <d v="2024-07-25T00:00:00"/>
    <x v="1"/>
    <x v="2"/>
    <x v="2"/>
    <x v="0"/>
    <x v="300"/>
    <n v="1634973"/>
    <n v="19693"/>
    <n v="1905"/>
    <n v="125648.2"/>
    <x v="0"/>
    <n v="9"/>
    <n v="1.20448472237768E-2"/>
    <n v="9.6734880414360402E-2"/>
    <n v="33.055847769028873"/>
    <n v="1.9953220025792666"/>
    <n v="62676.81"/>
    <d v="2024-10-16T00:00:00"/>
    <n v="56.7"/>
    <n v="30"/>
    <n v="6.3803483471284208"/>
    <n v="3.0251833411966928E-2"/>
    <n v="0.50117224122589898"/>
  </r>
  <r>
    <s v="C302"/>
    <x v="1"/>
    <d v="2024-10-14T00:00:00"/>
    <d v="2024-11-10T00:00:00"/>
    <x v="3"/>
    <x v="0"/>
    <x v="1"/>
    <x v="1"/>
    <x v="301"/>
    <n v="334154"/>
    <n v="15138"/>
    <n v="1230"/>
    <n v="96810.46"/>
    <x v="0"/>
    <n v="9"/>
    <n v="4.53024653303567E-2"/>
    <n v="8.1252477209671006E-2"/>
    <n v="14.519219512195122"/>
    <n v="5.4209312691223976"/>
    <n v="78951.820000000007"/>
    <d v="2024-11-10T00:00:00"/>
    <n v="14.71"/>
    <n v="27"/>
    <n v="6.3951948738274549"/>
    <n v="6.8874225584926965E-2"/>
    <n v="0.184470149196688"/>
  </r>
  <r>
    <s v="C303"/>
    <x v="4"/>
    <d v="2024-02-03T00:00:00"/>
    <d v="2024-04-02T00:00:00"/>
    <x v="5"/>
    <x v="1"/>
    <x v="1"/>
    <x v="0"/>
    <x v="302"/>
    <n v="845219"/>
    <n v="3169"/>
    <n v="717"/>
    <n v="237810.07"/>
    <x v="2"/>
    <n v="9"/>
    <n v="3.7493241396608498E-3"/>
    <n v="0.22625433890817301"/>
    <n v="106.52807531380753"/>
    <n v="3.1134866261249741"/>
    <n v="161429.44"/>
    <d v="2024-04-02T00:00:00"/>
    <n v="28.43"/>
    <n v="59"/>
    <n v="75.042622278321232"/>
    <n v="9.3871967277567615E-3"/>
    <n v="0.32118332920048298"/>
  </r>
  <r>
    <s v="C304"/>
    <x v="1"/>
    <d v="2024-04-04T00:00:00"/>
    <d v="2024-06-28T00:00:00"/>
    <x v="5"/>
    <x v="1"/>
    <x v="2"/>
    <x v="1"/>
    <x v="303"/>
    <n v="1862336"/>
    <n v="19556"/>
    <n v="1724"/>
    <n v="161718.28"/>
    <x v="1"/>
    <n v="5"/>
    <n v="1.0500790405168599E-2"/>
    <n v="8.8157087338924106E-2"/>
    <n v="39.101357308584689"/>
    <n v="2.3989987352163764"/>
    <n v="94307.54"/>
    <d v="2024-06-28T00:00:00"/>
    <n v="26.28"/>
    <n v="85"/>
    <n v="8.2694968296175091"/>
    <n v="2.5574559780830175E-2"/>
    <n v="0.416840569909598"/>
  </r>
  <r>
    <s v="C305"/>
    <x v="2"/>
    <d v="2024-03-12T00:00:00"/>
    <d v="2024-07-02T00:00:00"/>
    <x v="1"/>
    <x v="0"/>
    <x v="3"/>
    <x v="1"/>
    <x v="304"/>
    <n v="189544"/>
    <n v="23052"/>
    <n v="682"/>
    <n v="41185.93"/>
    <x v="0"/>
    <n v="4"/>
    <n v="0.12161819946819701"/>
    <n v="2.95852854416103E-2"/>
    <n v="140.58414956011731"/>
    <n v="0.42956426364689687"/>
    <n v="-54692.46"/>
    <d v="2024-07-02T00:00:00"/>
    <n v="10.76"/>
    <n v="112"/>
    <n v="1.7866532188096478"/>
    <n v="7.1131774323703184E-3"/>
    <n v="2.3279403912938199"/>
  </r>
  <r>
    <s v="C306"/>
    <x v="0"/>
    <d v="2024-02-08T00:00:00"/>
    <d v="2024-07-04T00:00:00"/>
    <x v="5"/>
    <x v="1"/>
    <x v="2"/>
    <x v="0"/>
    <x v="305"/>
    <n v="296183"/>
    <n v="7313"/>
    <n v="626"/>
    <n v="144422.01"/>
    <x v="0"/>
    <n v="7"/>
    <n v="2.46908161508257E-2"/>
    <n v="8.5600984548065098E-2"/>
    <n v="18.452092651757187"/>
    <n v="12.502976795968491"/>
    <n v="132871"/>
    <d v="2024-07-04T00:00:00"/>
    <n v="42.97"/>
    <n v="147"/>
    <n v="19.748668125256394"/>
    <n v="5.4194395122158151E-2"/>
    <n v="7.9980953041714403E-2"/>
  </r>
  <r>
    <s v="C307"/>
    <x v="4"/>
    <d v="2024-06-02T00:00:00"/>
    <d v="2024-03-19T00:00:00"/>
    <x v="0"/>
    <x v="3"/>
    <x v="1"/>
    <x v="2"/>
    <x v="306"/>
    <n v="728743"/>
    <n v="9315"/>
    <n v="1692"/>
    <n v="197375.64"/>
    <x v="2"/>
    <n v="6"/>
    <n v="1.2782284015077999E-2"/>
    <n v="0.18164251207729501"/>
    <n v="6.1585106382978729"/>
    <n v="18.941636436920597"/>
    <n v="186955.44"/>
    <d v="2024-07-02T00:00:00"/>
    <n v="10.48"/>
    <n v="30"/>
    <n v="21.189011272141709"/>
    <n v="0.16237692174814303"/>
    <n v="5.2793749015836E-2"/>
  </r>
  <r>
    <s v="C308"/>
    <x v="0"/>
    <d v="2024-09-06T00:00:00"/>
    <d v="2024-04-23T00:00:00"/>
    <x v="4"/>
    <x v="3"/>
    <x v="0"/>
    <x v="0"/>
    <x v="307"/>
    <n v="1422429"/>
    <n v="9036"/>
    <n v="1732"/>
    <n v="180037.53"/>
    <x v="1"/>
    <n v="5"/>
    <n v="6.3525139040331701E-3"/>
    <n v="0.19167773351040299"/>
    <n v="18.364763279445729"/>
    <n v="5.6601745422580709"/>
    <n v="148229.76000000001"/>
    <d v="2024-10-06T00:00:00"/>
    <n v="11.75"/>
    <n v="30"/>
    <n v="19.924472111553786"/>
    <n v="5.4452103998488419E-2"/>
    <n v="0.17667299701345601"/>
  </r>
  <r>
    <s v="C309"/>
    <x v="1"/>
    <d v="2024-06-10T00:00:00"/>
    <d v="2024-07-25T00:00:00"/>
    <x v="2"/>
    <x v="0"/>
    <x v="0"/>
    <x v="1"/>
    <x v="308"/>
    <n v="513001"/>
    <n v="32778"/>
    <n v="186"/>
    <n v="51301.42"/>
    <x v="2"/>
    <n v="6"/>
    <n v="6.3894612291204106E-2"/>
    <n v="5.6745377997437299E-3"/>
    <n v="160.54860215053765"/>
    <n v="1.7179476017043711"/>
    <n v="21439.379999999997"/>
    <d v="2024-07-25T00:00:00"/>
    <n v="50.08"/>
    <n v="45"/>
    <n v="1.5651174568308011"/>
    <n v="6.228643455035222E-3"/>
    <n v="0.58208993045416701"/>
  </r>
  <r>
    <s v="C310"/>
    <x v="1"/>
    <d v="2024-04-27T00:00:00"/>
    <d v="2024-06-26T00:00:00"/>
    <x v="3"/>
    <x v="3"/>
    <x v="3"/>
    <x v="2"/>
    <x v="309"/>
    <n v="1867189"/>
    <n v="28734"/>
    <n v="1996"/>
    <n v="243380.8"/>
    <x v="0"/>
    <n v="6"/>
    <n v="1.53889081394545E-2"/>
    <n v="6.9464745597549907E-2"/>
    <n v="14.260015030060121"/>
    <n v="8.5507812074557155"/>
    <n v="214917.81"/>
    <d v="2024-06-26T00:00:00"/>
    <n v="53.06"/>
    <n v="60"/>
    <n v="8.4701329435511941"/>
    <n v="7.0126153295911639E-2"/>
    <n v="0.11694837883678599"/>
  </r>
  <r>
    <s v="C311"/>
    <x v="4"/>
    <d v="2024-09-15T00:00:00"/>
    <d v="2024-05-27T00:00:00"/>
    <x v="3"/>
    <x v="3"/>
    <x v="2"/>
    <x v="0"/>
    <x v="310"/>
    <n v="1133094"/>
    <n v="24173"/>
    <n v="1747"/>
    <n v="117715.27"/>
    <x v="1"/>
    <n v="8"/>
    <n v="2.13336228062279E-2"/>
    <n v="7.2270715260828206E-2"/>
    <n v="52.143211219232974"/>
    <n v="1.2922368594528366"/>
    <n v="26621.08"/>
    <d v="2024-10-15T00:00:00"/>
    <n v="73.64"/>
    <n v="30"/>
    <n v="4.8697004922847809"/>
    <n v="1.9177951963786053E-2"/>
    <n v="0.77385193951472897"/>
  </r>
  <r>
    <s v="C312"/>
    <x v="2"/>
    <d v="2024-09-24T00:00:00"/>
    <d v="2024-04-02T00:00:00"/>
    <x v="1"/>
    <x v="2"/>
    <x v="0"/>
    <x v="0"/>
    <x v="311"/>
    <n v="103909"/>
    <n v="31403"/>
    <n v="477"/>
    <n v="48166"/>
    <x v="1"/>
    <n v="8"/>
    <n v="0.302216362394018"/>
    <n v="1.51896315638633E-2"/>
    <n v="60.182159329140461"/>
    <n v="1.677855037588537"/>
    <n v="19459.11"/>
    <d v="2024-10-24T00:00:00"/>
    <n v="42.09"/>
    <n v="30"/>
    <n v="1.5338025029455784"/>
    <n v="1.6616220008506669E-2"/>
    <n v="0.59599904496947997"/>
  </r>
  <r>
    <s v="C313"/>
    <x v="3"/>
    <d v="2024-02-23T00:00:00"/>
    <d v="2024-08-06T00:00:00"/>
    <x v="3"/>
    <x v="2"/>
    <x v="2"/>
    <x v="0"/>
    <x v="312"/>
    <n v="1903359"/>
    <n v="1785"/>
    <n v="1525"/>
    <n v="53246.98"/>
    <x v="0"/>
    <n v="8"/>
    <n v="9.3781572472665395E-4"/>
    <n v="0.85434173669467794"/>
    <n v="20.219816393442624"/>
    <n v="1.7268234181562512"/>
    <n v="22411.760000000002"/>
    <d v="2024-08-06T00:00:00"/>
    <n v="75.66"/>
    <n v="165"/>
    <n v="29.830240896358546"/>
    <n v="4.9456433260408064E-2"/>
    <n v="0.57909800706068204"/>
  </r>
  <r>
    <s v="C314"/>
    <x v="4"/>
    <d v="2024-08-23T00:00:00"/>
    <d v="2024-03-19T00:00:00"/>
    <x v="0"/>
    <x v="3"/>
    <x v="1"/>
    <x v="2"/>
    <x v="313"/>
    <n v="774984"/>
    <n v="7139"/>
    <n v="661"/>
    <n v="33576.400000000001"/>
    <x v="1"/>
    <n v="5"/>
    <n v="9.2118030823862204E-3"/>
    <n v="9.2589998599243606E-2"/>
    <n v="116.70624810892588"/>
    <n v="0.43524978277307175"/>
    <n v="-43566.43"/>
    <d v="2024-09-22T00:00:00"/>
    <n v="20.28"/>
    <n v="30"/>
    <n v="4.7032357473035438"/>
    <n v="8.5685215333686868E-3"/>
    <n v="2.29753130174766"/>
  </r>
  <r>
    <s v="C315"/>
    <x v="3"/>
    <d v="2024-08-09T00:00:00"/>
    <d v="2024-10-13T00:00:00"/>
    <x v="5"/>
    <x v="0"/>
    <x v="0"/>
    <x v="1"/>
    <x v="314"/>
    <n v="1020834"/>
    <n v="7344"/>
    <n v="1923"/>
    <n v="202844.35"/>
    <x v="1"/>
    <n v="6"/>
    <n v="7.1941177507802399E-3"/>
    <n v="0.26184640522875802"/>
    <n v="24.818143525741029"/>
    <n v="4.2502486627111118"/>
    <n v="155119.06"/>
    <d v="2024-10-13T00:00:00"/>
    <n v="77.739999999999995"/>
    <n v="65"/>
    <n v="27.62041802832244"/>
    <n v="4.0293102462027997E-2"/>
    <n v="0.23528035165879699"/>
  </r>
  <r>
    <s v="C316"/>
    <x v="3"/>
    <d v="2024-09-07T00:00:00"/>
    <d v="2024-09-10T00:00:00"/>
    <x v="0"/>
    <x v="2"/>
    <x v="3"/>
    <x v="0"/>
    <x v="315"/>
    <n v="565693"/>
    <n v="19800"/>
    <n v="960"/>
    <n v="39287.32"/>
    <x v="2"/>
    <n v="4"/>
    <n v="3.5001316968744499E-2"/>
    <n v="4.8484848484848499E-2"/>
    <n v="82.0703125"/>
    <n v="0.49864915119784231"/>
    <n v="-39500.18"/>
    <d v="2024-09-10T00:00:00"/>
    <n v="20.010000000000002"/>
    <n v="3"/>
    <n v="1.9842080808080809"/>
    <n v="1.2184673964778677E-2"/>
    <n v="2.0054180330956699"/>
  </r>
  <r>
    <s v="C317"/>
    <x v="2"/>
    <d v="2024-04-21T00:00:00"/>
    <d v="2024-06-19T00:00:00"/>
    <x v="1"/>
    <x v="1"/>
    <x v="1"/>
    <x v="0"/>
    <x v="316"/>
    <n v="589570"/>
    <n v="26372"/>
    <n v="868"/>
    <n v="40030.06"/>
    <x v="0"/>
    <n v="7"/>
    <n v="4.4730905575249801E-2"/>
    <n v="3.2913696344607897E-2"/>
    <n v="12.914493087557604"/>
    <n v="3.5709942568007573"/>
    <n v="28820.28"/>
    <d v="2024-06-19T00:00:00"/>
    <n v="51.5"/>
    <n v="59"/>
    <n v="1.517900045502806"/>
    <n v="7.7432384935297568E-2"/>
    <n v="0.28003405440811202"/>
  </r>
  <r>
    <s v="C318"/>
    <x v="3"/>
    <d v="2024-09-11T00:00:00"/>
    <d v="2024-09-01T00:00:00"/>
    <x v="0"/>
    <x v="1"/>
    <x v="3"/>
    <x v="0"/>
    <x v="317"/>
    <n v="1576658"/>
    <n v="21538"/>
    <n v="190"/>
    <n v="214113.19"/>
    <x v="0"/>
    <n v="8"/>
    <n v="1.36605402059292E-2"/>
    <n v="8.8216176060915592E-3"/>
    <n v="270.10136842105265"/>
    <n v="4.1721799963600406"/>
    <n v="162793.93"/>
    <d v="2024-10-11T00:00:00"/>
    <n v="75.209999999999994"/>
    <n v="30"/>
    <n v="9.9411825610548803"/>
    <n v="3.7023137122398101E-3"/>
    <n v="0.23968285185980401"/>
  </r>
  <r>
    <s v="C319"/>
    <x v="3"/>
    <d v="2024-07-25T00:00:00"/>
    <d v="2024-08-28T00:00:00"/>
    <x v="5"/>
    <x v="1"/>
    <x v="1"/>
    <x v="0"/>
    <x v="318"/>
    <n v="289017"/>
    <n v="15973"/>
    <n v="1156"/>
    <n v="92704.98"/>
    <x v="0"/>
    <n v="8"/>
    <n v="5.5266645214641398E-2"/>
    <n v="7.2372127965942501E-2"/>
    <n v="7.087621107266437"/>
    <n v="11.314744138191127"/>
    <n v="84511.69"/>
    <d v="2024-08-28T00:00:00"/>
    <n v="67.47"/>
    <n v="34"/>
    <n v="5.8038552557440681"/>
    <n v="0.14109106354101952"/>
    <n v="8.8380257457582101E-2"/>
  </r>
  <r>
    <s v="C320"/>
    <x v="2"/>
    <d v="2024-08-16T00:00:00"/>
    <d v="2024-03-02T00:00:00"/>
    <x v="4"/>
    <x v="0"/>
    <x v="0"/>
    <x v="0"/>
    <x v="319"/>
    <n v="464994"/>
    <n v="6619"/>
    <n v="226"/>
    <n v="17405.900000000001"/>
    <x v="0"/>
    <n v="6"/>
    <n v="1.4234592274308899E-2"/>
    <n v="3.4144130533313201E-2"/>
    <n v="48.460398230088494"/>
    <n v="1.5892823717934088"/>
    <n v="6453.8500000000022"/>
    <d v="2024-09-15T00:00:00"/>
    <n v="75"/>
    <n v="30"/>
    <n v="2.6296872639371509"/>
    <n v="2.0635406156838218E-2"/>
    <n v="0.62921480647366701"/>
  </r>
  <r>
    <s v="C321"/>
    <x v="3"/>
    <d v="2024-03-06T00:00:00"/>
    <d v="2024-07-06T00:00:00"/>
    <x v="1"/>
    <x v="3"/>
    <x v="3"/>
    <x v="1"/>
    <x v="320"/>
    <n v="991768"/>
    <n v="35704"/>
    <n v="247"/>
    <n v="22454.87"/>
    <x v="0"/>
    <n v="6"/>
    <n v="3.6000354921715598E-2"/>
    <n v="6.9179923818059597E-3"/>
    <n v="368.87271255060728"/>
    <n v="0.2464546760037914"/>
    <n v="-68656.69"/>
    <d v="2024-07-06T00:00:00"/>
    <n v="35.72"/>
    <n v="122"/>
    <n v="0.62891748823661209"/>
    <n v="2.7109622533079227E-3"/>
    <n v="4.0575411926232503"/>
  </r>
  <r>
    <s v="C322"/>
    <x v="3"/>
    <d v="2024-03-15T00:00:00"/>
    <d v="2024-11-10T00:00:00"/>
    <x v="4"/>
    <x v="1"/>
    <x v="3"/>
    <x v="1"/>
    <x v="321"/>
    <n v="502891"/>
    <n v="37575"/>
    <n v="673"/>
    <n v="44120.91"/>
    <x v="1"/>
    <n v="5"/>
    <n v="7.4717980635962897E-2"/>
    <n v="1.7910844976713199E-2"/>
    <n v="27.085156017830609"/>
    <n v="2.4204608106840402"/>
    <n v="25892.600000000002"/>
    <d v="2024-11-10T00:00:00"/>
    <n v="71.19"/>
    <n v="240"/>
    <n v="1.1742091816367266"/>
    <n v="3.6920592199715711E-2"/>
    <n v="0.413144470501628"/>
  </r>
  <r>
    <s v="C323"/>
    <x v="3"/>
    <d v="2024-04-12T00:00:00"/>
    <d v="2024-11-11T00:00:00"/>
    <x v="2"/>
    <x v="0"/>
    <x v="1"/>
    <x v="0"/>
    <x v="322"/>
    <n v="1890083"/>
    <n v="40919"/>
    <n v="1641"/>
    <n v="61214.400000000001"/>
    <x v="2"/>
    <n v="5"/>
    <n v="2.1649313813202901E-2"/>
    <n v="4.0103619345536301E-2"/>
    <n v="33.86956733698964"/>
    <n v="1.1013753878196386"/>
    <n v="5634.4400000000023"/>
    <d v="2024-11-11T00:00:00"/>
    <n v="60.12"/>
    <n v="213"/>
    <n v="1.4959896380654465"/>
    <n v="2.9525030244714104E-2"/>
    <n v="0.90795564442353405"/>
  </r>
  <r>
    <s v="C324"/>
    <x v="4"/>
    <d v="2024-07-10T00:00:00"/>
    <d v="2024-06-22T00:00:00"/>
    <x v="4"/>
    <x v="2"/>
    <x v="3"/>
    <x v="2"/>
    <x v="323"/>
    <n v="1567740"/>
    <n v="43261"/>
    <n v="740"/>
    <n v="169635.09"/>
    <x v="0"/>
    <n v="8"/>
    <n v="2.7594499087858999E-2"/>
    <n v="1.71054760638913E-2"/>
    <n v="59.532540540540545"/>
    <n v="3.850610204548591"/>
    <n v="125581.01"/>
    <d v="2024-08-09T00:00:00"/>
    <n v="73.59"/>
    <n v="30"/>
    <n v="3.9212013129608652"/>
    <n v="1.6797536119242531E-2"/>
    <n v="0.25969909881263398"/>
  </r>
  <r>
    <s v="C325"/>
    <x v="4"/>
    <d v="2024-09-08T00:00:00"/>
    <d v="2024-02-18T00:00:00"/>
    <x v="2"/>
    <x v="3"/>
    <x v="1"/>
    <x v="1"/>
    <x v="324"/>
    <n v="1802390"/>
    <n v="46123"/>
    <n v="1494"/>
    <n v="47758.31"/>
    <x v="2"/>
    <n v="6"/>
    <n v="2.55899111734974E-2"/>
    <n v="3.2391648418359599E-2"/>
    <n v="25.433480589022761"/>
    <n v="1.2568763517293977"/>
    <n v="9760.6899999999951"/>
    <d v="2024-10-08T00:00:00"/>
    <n v="18.16"/>
    <n v="30"/>
    <n v="1.0354554127008218"/>
    <n v="3.9318252037890793E-2"/>
    <n v="0.79562321196038999"/>
  </r>
  <r>
    <s v="C326"/>
    <x v="4"/>
    <d v="2024-08-13T00:00:00"/>
    <d v="2024-02-17T00:00:00"/>
    <x v="2"/>
    <x v="2"/>
    <x v="1"/>
    <x v="2"/>
    <x v="325"/>
    <n v="1126941"/>
    <n v="28716"/>
    <n v="450"/>
    <n v="38529.85"/>
    <x v="2"/>
    <n v="4"/>
    <n v="2.5481369477195301E-2"/>
    <n v="1.56707062264939E-2"/>
    <n v="201.07593333333332"/>
    <n v="0.4258186818755148"/>
    <n v="-51954.32"/>
    <d v="2024-09-12T00:00:00"/>
    <n v="29.27"/>
    <n v="30"/>
    <n v="1.3417554673352834"/>
    <n v="4.973245596439687E-3"/>
    <n v="2.3484173958632102"/>
  </r>
  <r>
    <s v="C327"/>
    <x v="2"/>
    <d v="2024-10-20T00:00:00"/>
    <d v="2024-10-13T00:00:00"/>
    <x v="4"/>
    <x v="0"/>
    <x v="1"/>
    <x v="1"/>
    <x v="326"/>
    <n v="515982"/>
    <n v="4236"/>
    <n v="1771"/>
    <n v="193532.59"/>
    <x v="1"/>
    <n v="7"/>
    <n v="8.2095887065827908E-3"/>
    <n v="0.418083097261568"/>
    <n v="3.993913043478261"/>
    <n v="27.36131351774722"/>
    <n v="186459.37"/>
    <d v="2024-11-19T00:00:00"/>
    <n v="51.78"/>
    <n v="30"/>
    <n v="45.687580264400374"/>
    <n v="0.25038101458741563"/>
    <n v="3.6547952983009203E-2"/>
  </r>
  <r>
    <s v="C328"/>
    <x v="1"/>
    <d v="2024-04-07T00:00:00"/>
    <d v="2024-04-17T00:00:00"/>
    <x v="1"/>
    <x v="1"/>
    <x v="1"/>
    <x v="0"/>
    <x v="327"/>
    <n v="491416"/>
    <n v="16848"/>
    <n v="520"/>
    <n v="171053.27"/>
    <x v="0"/>
    <n v="6"/>
    <n v="3.4284597978087798E-2"/>
    <n v="3.0864197530864199E-2"/>
    <n v="130.88465384615387"/>
    <n v="2.513270933508394"/>
    <n v="102993.24999999999"/>
    <d v="2024-04-17T00:00:00"/>
    <n v="33.99"/>
    <n v="10"/>
    <n v="10.152734449192781"/>
    <n v="7.6403151218586178E-3"/>
    <n v="0.39788786265237702"/>
  </r>
  <r>
    <s v="C329"/>
    <x v="3"/>
    <d v="2024-10-12T00:00:00"/>
    <d v="2024-07-23T00:00:00"/>
    <x v="5"/>
    <x v="1"/>
    <x v="0"/>
    <x v="1"/>
    <x v="328"/>
    <n v="323146"/>
    <n v="3352"/>
    <n v="267"/>
    <n v="114477.81"/>
    <x v="1"/>
    <n v="6"/>
    <n v="1.0373020244719099E-2"/>
    <n v="7.9653937947493994E-2"/>
    <n v="361.50737827715358"/>
    <n v="1.1860223842178925"/>
    <n v="17955.339999999997"/>
    <d v="2024-11-11T00:00:00"/>
    <n v="53.59"/>
    <n v="30"/>
    <n v="34.152091288782813"/>
    <n v="2.7661952703862632E-3"/>
    <n v="0.84315440695450095"/>
  </r>
  <r>
    <s v="C330"/>
    <x v="3"/>
    <d v="2024-09-05T00:00:00"/>
    <d v="2024-08-11T00:00:00"/>
    <x v="0"/>
    <x v="0"/>
    <x v="1"/>
    <x v="0"/>
    <x v="329"/>
    <n v="1374667"/>
    <n v="2932"/>
    <n v="1998"/>
    <n v="141834.35"/>
    <x v="0"/>
    <n v="9"/>
    <n v="2.1328801811638701E-3"/>
    <n v="0.68144611186903103"/>
    <n v="29.13712712712713"/>
    <n v="2.4363473740371631"/>
    <n v="83618.37"/>
    <d v="2024-10-05T00:00:00"/>
    <n v="64.540000000000006"/>
    <n v="30"/>
    <n v="48.374607776261939"/>
    <n v="3.4320473519470082E-2"/>
    <n v="0.41045050088360102"/>
  </r>
  <r>
    <s v="C331"/>
    <x v="2"/>
    <d v="2024-06-14T00:00:00"/>
    <d v="2024-05-22T00:00:00"/>
    <x v="0"/>
    <x v="1"/>
    <x v="2"/>
    <x v="1"/>
    <x v="330"/>
    <n v="1308870"/>
    <n v="11913"/>
    <n v="978"/>
    <n v="84876.160000000003"/>
    <x v="1"/>
    <n v="5"/>
    <n v="9.1017442526759706E-3"/>
    <n v="8.2095190128431098E-2"/>
    <n v="96.1126073619632"/>
    <n v="0.90295583539800206"/>
    <n v="-9121.9700000000012"/>
    <d v="2024-07-14T00:00:00"/>
    <n v="79.81"/>
    <n v="30"/>
    <n v="7.1246671703181406"/>
    <n v="1.0404462301537274E-2"/>
    <n v="1.1074738772347901"/>
  </r>
  <r>
    <s v="C332"/>
    <x v="3"/>
    <d v="2024-01-30T00:00:00"/>
    <d v="2024-05-23T00:00:00"/>
    <x v="5"/>
    <x v="3"/>
    <x v="3"/>
    <x v="0"/>
    <x v="331"/>
    <n v="1979848"/>
    <n v="9556"/>
    <n v="1901"/>
    <n v="125800.1"/>
    <x v="2"/>
    <n v="7"/>
    <n v="4.8266331556766004E-3"/>
    <n v="0.198932607785684"/>
    <n v="5.2417148869016303"/>
    <n v="12.624828139896634"/>
    <n v="115835.6"/>
    <d v="2024-05-23T00:00:00"/>
    <n v="38.479999999999997"/>
    <n v="114"/>
    <n v="13.164514441188782"/>
    <n v="0.19077725927040995"/>
    <n v="7.9208999038951497E-2"/>
  </r>
  <r>
    <s v="C333"/>
    <x v="4"/>
    <d v="2024-09-03T00:00:00"/>
    <d v="2024-09-08T00:00:00"/>
    <x v="2"/>
    <x v="0"/>
    <x v="2"/>
    <x v="0"/>
    <x v="332"/>
    <n v="1214795"/>
    <n v="22300"/>
    <n v="1802"/>
    <n v="131601.44"/>
    <x v="0"/>
    <n v="8"/>
    <n v="1.8357006737762301E-2"/>
    <n v="8.0807174887892394E-2"/>
    <n v="24.853146503884574"/>
    <n v="2.9384917440673148"/>
    <n v="86816.07"/>
    <d v="2024-09-08T00:00:00"/>
    <n v="20.09"/>
    <n v="5"/>
    <n v="5.9014098654708524"/>
    <n v="4.0236353970057627E-2"/>
    <n v="0.34031063793830801"/>
  </r>
  <r>
    <s v="C334"/>
    <x v="1"/>
    <d v="2024-04-15T00:00:00"/>
    <d v="2024-07-14T00:00:00"/>
    <x v="2"/>
    <x v="2"/>
    <x v="0"/>
    <x v="0"/>
    <x v="333"/>
    <n v="1439330"/>
    <n v="6498"/>
    <n v="681"/>
    <n v="102936.95"/>
    <x v="2"/>
    <n v="6"/>
    <n v="4.5146005433083398E-3"/>
    <n v="0.10480147737765499"/>
    <n v="43.634346549192365"/>
    <n v="3.4641421720148649"/>
    <n v="73221.959999999992"/>
    <d v="2024-07-14T00:00:00"/>
    <n v="28.8"/>
    <n v="90"/>
    <n v="15.84132810095414"/>
    <n v="2.2917726036589613E-2"/>
    <n v="0.28867175489462199"/>
  </r>
  <r>
    <s v="C335"/>
    <x v="0"/>
    <d v="2024-02-20T00:00:00"/>
    <d v="2024-06-10T00:00:00"/>
    <x v="1"/>
    <x v="0"/>
    <x v="2"/>
    <x v="0"/>
    <x v="334"/>
    <n v="888574"/>
    <n v="11582"/>
    <n v="1000"/>
    <n v="227577.33"/>
    <x v="2"/>
    <n v="8"/>
    <n v="1.3034367424660199E-2"/>
    <n v="8.6340873769642598E-2"/>
    <n v="74.427990000000008"/>
    <n v="3.0576847500516937"/>
    <n v="153149.33999999997"/>
    <d v="2024-06-10T00:00:00"/>
    <n v="48.97"/>
    <n v="111"/>
    <n v="19.649225522362286"/>
    <n v="1.3435805534987575E-2"/>
    <n v="0.327044833507802"/>
  </r>
  <r>
    <s v="C336"/>
    <x v="3"/>
    <d v="2024-03-21T00:00:00"/>
    <d v="2024-10-20T00:00:00"/>
    <x v="3"/>
    <x v="3"/>
    <x v="3"/>
    <x v="2"/>
    <x v="335"/>
    <n v="630595"/>
    <n v="47633"/>
    <n v="955"/>
    <n v="13854.85"/>
    <x v="1"/>
    <n v="6"/>
    <n v="7.5536596389124605E-2"/>
    <n v="2.0049125606197399E-2"/>
    <n v="102.85153926701571"/>
    <n v="0.14105473227206358"/>
    <n v="-84368.37"/>
    <d v="2024-10-20T00:00:00"/>
    <n v="22.8"/>
    <n v="213"/>
    <n v="0.29086662607855901"/>
    <n v="9.7227519114115781E-3"/>
    <n v="7.0894466558641902"/>
  </r>
  <r>
    <s v="C337"/>
    <x v="4"/>
    <d v="2024-05-12T00:00:00"/>
    <d v="2024-03-25T00:00:00"/>
    <x v="4"/>
    <x v="3"/>
    <x v="2"/>
    <x v="0"/>
    <x v="336"/>
    <n v="1234141"/>
    <n v="10569"/>
    <n v="224"/>
    <n v="197721.1"/>
    <x v="0"/>
    <n v="8"/>
    <n v="8.5638512941390004E-3"/>
    <n v="2.11940580944271E-2"/>
    <n v="131.11767857142857"/>
    <n v="6.7319944324822716"/>
    <n v="168350.74"/>
    <d v="2024-06-11T00:00:00"/>
    <n v="28.27"/>
    <n v="30"/>
    <n v="18.70764499952692"/>
    <n v="7.6267366147367618E-3"/>
    <n v="0.14854438904092701"/>
  </r>
  <r>
    <s v="C338"/>
    <x v="0"/>
    <d v="2024-10-11T00:00:00"/>
    <d v="2024-06-09T00:00:00"/>
    <x v="2"/>
    <x v="0"/>
    <x v="0"/>
    <x v="2"/>
    <x v="337"/>
    <n v="829383"/>
    <n v="5857"/>
    <n v="72"/>
    <n v="39851.879999999997"/>
    <x v="2"/>
    <n v="7"/>
    <n v="7.06187611754762E-3"/>
    <n v="1.2292982755676999E-2"/>
    <n v="932.59152777777774"/>
    <n v="0.59350564190973809"/>
    <n v="-27294.71"/>
    <d v="2024-11-10T00:00:00"/>
    <n v="67.86"/>
    <n v="30"/>
    <n v="6.8041454669626082"/>
    <n v="1.0722808112817047E-3"/>
    <n v="1.6849039493243501"/>
  </r>
  <r>
    <s v="C339"/>
    <x v="1"/>
    <d v="2024-05-17T00:00:00"/>
    <d v="2024-11-13T00:00:00"/>
    <x v="0"/>
    <x v="0"/>
    <x v="1"/>
    <x v="2"/>
    <x v="338"/>
    <n v="362229"/>
    <n v="1340"/>
    <n v="1122"/>
    <n v="201411.37"/>
    <x v="1"/>
    <n v="5"/>
    <n v="3.6993172827134201E-3"/>
    <n v="0.83731343283582105"/>
    <n v="21.229304812834222"/>
    <n v="8.4558126861937062"/>
    <n v="177592.09"/>
    <d v="2024-11-13T00:00:00"/>
    <n v="43.92"/>
    <n v="180"/>
    <n v="150.30699253731342"/>
    <n v="4.710469837879231E-2"/>
    <n v="0.11826184390682599"/>
  </r>
  <r>
    <s v="C340"/>
    <x v="0"/>
    <d v="2024-07-02T00:00:00"/>
    <d v="2024-10-22T00:00:00"/>
    <x v="1"/>
    <x v="1"/>
    <x v="2"/>
    <x v="0"/>
    <x v="339"/>
    <n v="608516"/>
    <n v="44949"/>
    <n v="1990"/>
    <n v="157818.85999999999"/>
    <x v="0"/>
    <n v="7"/>
    <n v="7.38665869097936E-2"/>
    <n v="4.4272397606175899E-2"/>
    <n v="29.500688442211057"/>
    <n v="2.6882748839691497"/>
    <n v="99112.489999999991"/>
    <d v="2024-10-22T00:00:00"/>
    <n v="25.44"/>
    <n v="112"/>
    <n v="3.5110649847605062"/>
    <n v="3.3897514017644077E-2"/>
    <n v="0.37198576900124602"/>
  </r>
  <r>
    <s v="C341"/>
    <x v="4"/>
    <d v="2024-09-29T00:00:00"/>
    <d v="2024-07-10T00:00:00"/>
    <x v="4"/>
    <x v="3"/>
    <x v="0"/>
    <x v="2"/>
    <x v="340"/>
    <n v="785036"/>
    <n v="17766"/>
    <n v="284"/>
    <n v="212386.74"/>
    <x v="0"/>
    <n v="9"/>
    <n v="2.26308092877269E-2"/>
    <n v="1.5985590453675601E-2"/>
    <n v="172.79433098591548"/>
    <n v="4.3279234309126355"/>
    <n v="163313.15"/>
    <d v="2024-10-29T00:00:00"/>
    <n v="51.66"/>
    <n v="30"/>
    <n v="11.95467409658899"/>
    <n v="5.7872268974004147E-3"/>
    <n v="0.231057692208092"/>
  </r>
  <r>
    <s v="C342"/>
    <x v="0"/>
    <d v="2024-03-09T00:00:00"/>
    <d v="2024-04-26T00:00:00"/>
    <x v="1"/>
    <x v="0"/>
    <x v="0"/>
    <x v="1"/>
    <x v="341"/>
    <n v="1523447"/>
    <n v="27132"/>
    <n v="1086"/>
    <n v="33403.440000000002"/>
    <x v="2"/>
    <n v="4"/>
    <n v="1.7809612018009201E-2"/>
    <n v="4.0026536930561699E-2"/>
    <n v="89.632145488029465"/>
    <n v="0.34316072516981888"/>
    <n v="-63937.069999999992"/>
    <d v="2024-04-26T00:00:00"/>
    <n v="36.049999999999997"/>
    <n v="48"/>
    <n v="1.2311455108359135"/>
    <n v="1.1156711630132203E-2"/>
    <n v="2.9140863934971999"/>
  </r>
  <r>
    <s v="C343"/>
    <x v="2"/>
    <d v="2024-02-03T00:00:00"/>
    <d v="2024-03-25T00:00:00"/>
    <x v="4"/>
    <x v="0"/>
    <x v="3"/>
    <x v="0"/>
    <x v="342"/>
    <n v="617760"/>
    <n v="9491"/>
    <n v="1174"/>
    <n v="144155.35"/>
    <x v="0"/>
    <n v="5"/>
    <n v="1.5363571613571599E-2"/>
    <n v="0.123696133178801"/>
    <n v="53.500928449744464"/>
    <n v="2.2950986059723846"/>
    <n v="81345.260000000009"/>
    <d v="2024-03-25T00:00:00"/>
    <n v="21.72"/>
    <n v="51"/>
    <n v="15.188636603097672"/>
    <n v="1.8691264413090318E-2"/>
    <n v="0.43571112691967401"/>
  </r>
  <r>
    <s v="C344"/>
    <x v="0"/>
    <d v="2024-09-18T00:00:00"/>
    <d v="2024-11-13T00:00:00"/>
    <x v="4"/>
    <x v="3"/>
    <x v="3"/>
    <x v="2"/>
    <x v="343"/>
    <n v="885869"/>
    <n v="1138"/>
    <n v="978"/>
    <n v="130261.09"/>
    <x v="2"/>
    <n v="7"/>
    <n v="1.28461431656374E-3"/>
    <n v="0.85940246045694202"/>
    <n v="39.062484662576686"/>
    <n v="3.4096985821311403"/>
    <n v="92057.98"/>
    <d v="2024-11-13T00:00:00"/>
    <n v="73.31"/>
    <n v="56"/>
    <n v="114.46492970123022"/>
    <n v="2.560001005153769E-2"/>
    <n v="0.29328105576269897"/>
  </r>
  <r>
    <s v="C345"/>
    <x v="3"/>
    <d v="2024-02-22T00:00:00"/>
    <d v="2024-07-26T00:00:00"/>
    <x v="5"/>
    <x v="0"/>
    <x v="2"/>
    <x v="0"/>
    <x v="344"/>
    <n v="1016920"/>
    <n v="1358"/>
    <n v="990"/>
    <n v="179486.36"/>
    <x v="0"/>
    <n v="9"/>
    <n v="1.3354049482751801E-3"/>
    <n v="0.72901325478645096"/>
    <n v="15.99909090909091"/>
    <n v="11.331853451269327"/>
    <n v="163647.25999999998"/>
    <d v="2024-07-26T00:00:00"/>
    <n v="67.22"/>
    <n v="155"/>
    <n v="132.16963181148748"/>
    <n v="6.2503551338144211E-2"/>
    <n v="8.8246817195468202E-2"/>
  </r>
  <r>
    <s v="C346"/>
    <x v="3"/>
    <d v="2024-07-23T00:00:00"/>
    <d v="2024-02-07T00:00:00"/>
    <x v="2"/>
    <x v="1"/>
    <x v="1"/>
    <x v="0"/>
    <x v="345"/>
    <n v="896143"/>
    <n v="10714"/>
    <n v="1949"/>
    <n v="138229.73000000001"/>
    <x v="1"/>
    <n v="4"/>
    <n v="1.1955681180347301E-2"/>
    <n v="0.18191151764047001"/>
    <n v="9.9376346844535668"/>
    <n v="7.1368503932942495"/>
    <n v="118861.28000000001"/>
    <d v="2024-08-22T00:00:00"/>
    <n v="23.34"/>
    <n v="30"/>
    <n v="12.901785514280382"/>
    <n v="0.1006275669968428"/>
    <n v="0.14011783138113601"/>
  </r>
  <r>
    <s v="C347"/>
    <x v="2"/>
    <d v="2024-05-05T00:00:00"/>
    <d v="2024-10-03T00:00:00"/>
    <x v="1"/>
    <x v="3"/>
    <x v="0"/>
    <x v="0"/>
    <x v="346"/>
    <n v="1236464"/>
    <n v="20840"/>
    <n v="572"/>
    <n v="139776.29999999999"/>
    <x v="2"/>
    <n v="9"/>
    <n v="1.6854514162967901E-2"/>
    <n v="2.7447216890595E-2"/>
    <n v="46.162779720279723"/>
    <n v="5.2935321988812012"/>
    <n v="113371.18999999999"/>
    <d v="2024-10-03T00:00:00"/>
    <n v="56.33"/>
    <n v="151"/>
    <n v="6.7071161228406906"/>
    <n v="2.1662473665135271E-2"/>
    <n v="0.188909779411817"/>
  </r>
  <r>
    <s v="C348"/>
    <x v="4"/>
    <d v="2024-08-22T00:00:00"/>
    <d v="2024-10-11T00:00:00"/>
    <x v="1"/>
    <x v="1"/>
    <x v="2"/>
    <x v="2"/>
    <x v="347"/>
    <n v="127175"/>
    <n v="35395"/>
    <n v="1858"/>
    <n v="113103.03"/>
    <x v="2"/>
    <n v="6"/>
    <n v="0.27831727933949302"/>
    <n v="5.2493290012713703E-2"/>
    <n v="15.523051668460711"/>
    <n v="3.9214928456342748"/>
    <n v="84261.2"/>
    <d v="2024-10-11T00:00:00"/>
    <n v="32.979999999999997"/>
    <n v="50"/>
    <n v="3.1954521825116542"/>
    <n v="6.4420322843592101E-2"/>
    <n v="0.255004927807858"/>
  </r>
  <r>
    <s v="C349"/>
    <x v="3"/>
    <d v="2024-02-12T00:00:00"/>
    <d v="2024-03-24T00:00:00"/>
    <x v="5"/>
    <x v="1"/>
    <x v="0"/>
    <x v="1"/>
    <x v="348"/>
    <n v="638595"/>
    <n v="31654"/>
    <n v="1525"/>
    <n v="84120.26"/>
    <x v="0"/>
    <n v="6"/>
    <n v="4.95681926729774E-2"/>
    <n v="4.81771656030833E-2"/>
    <n v="56.267888524590163"/>
    <n v="0.98032514949271354"/>
    <n v="-1688.2700000000041"/>
    <d v="2024-03-24T00:00:00"/>
    <n v="49.76"/>
    <n v="41"/>
    <n v="2.6574922600619195"/>
    <n v="1.7772125918017707E-2"/>
    <n v="1.02006971923292"/>
  </r>
  <r>
    <s v="C350"/>
    <x v="1"/>
    <d v="2024-08-27T00:00:00"/>
    <d v="2024-10-05T00:00:00"/>
    <x v="0"/>
    <x v="1"/>
    <x v="0"/>
    <x v="1"/>
    <x v="349"/>
    <n v="1407453"/>
    <n v="26879"/>
    <n v="480"/>
    <n v="125743.45"/>
    <x v="0"/>
    <n v="8"/>
    <n v="1.9097618179789999E-2"/>
    <n v="1.7857807210089699E-2"/>
    <n v="121.492"/>
    <n v="2.1562367961127755"/>
    <n v="67427.289999999994"/>
    <d v="2024-10-05T00:00:00"/>
    <m/>
    <n v="39"/>
    <n v="4.6781297667323933"/>
    <n v="8.2309946333914991E-3"/>
    <n v="0.46377095586291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0CDA8-EBBE-413C-95B5-987E620E65A7}" name="PivotTable2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8:G29" firstHeaderRow="1" firstDataRow="1" firstDataCol="0"/>
  <pivotFields count="29">
    <pivotField showAll="0"/>
    <pivotField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Customer_Satisfaction_Score" fld="14" subtotal="average" baseField="0" baseItem="9" numFmtId="2"/>
  </dataFields>
  <formats count="3"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C533E-7E5E-4945-8520-9E34811E8E9D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9:G20" firstHeaderRow="1" firstDataRow="1" firstDataCol="0"/>
  <pivotFields count="29">
    <pivotField showAll="0"/>
    <pivotField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Profit" fld="19" baseField="0" baseItem="0" numFmtId="166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6D8AF-C24D-4DAF-B49F-A4F355FA387A}" name="PivotTable17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chartFormat="3">
  <location ref="B96:D102" firstHeaderRow="0" firstDataRow="1" firstDataCol="1"/>
  <pivotFields count="29">
    <pivotField showAll="0"/>
    <pivotField axis="axisRow" showAll="0" sortType="descending">
      <items count="7">
        <item m="1"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1"/>
    </i>
    <i>
      <x v="5"/>
    </i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sion Rate %" fld="16" subtotal="average" baseField="1" baseItem="1"/>
    <dataField name="Average of Bounce_Rate(%)" fld="21" subtotal="average" baseField="1" baseItem="1"/>
  </dataFields>
  <formats count="2">
    <format dxfId="59">
      <pivotArea dataOnly="0" outline="0" fieldPosition="0">
        <references count="1">
          <reference field="4294967294" count="1">
            <x v="0"/>
          </reference>
        </references>
      </pivotArea>
    </format>
    <format dxfId="58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4DC86-A4B0-41BC-B196-9A9EC188747D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23:G24" firstHeaderRow="1" firstDataRow="1" firstDataCol="0"/>
  <pivotFields count="29">
    <pivotField showAll="0"/>
    <pivotField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Engagement Rate %" fld="15" subtotal="average" baseField="0" baseItem="1"/>
  </dataFields>
  <formats count="1"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3A9E1-F9E7-4AC5-9132-B1FC3CE24618}" name="PivotTable11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chartFormat="10">
  <location ref="E34:F63" firstHeaderRow="1" firstDataRow="1" firstDataCol="1"/>
  <pivotFields count="29">
    <pivotField showAll="0"/>
    <pivotField showAll="0"/>
    <pivotField showAll="0"/>
    <pivotField showAll="0"/>
    <pivotField axis="axisRow" showAll="0" sortType="ascending">
      <items count="8">
        <item x="1"/>
        <item x="4"/>
        <item x="3"/>
        <item x="0"/>
        <item x="2"/>
        <item x="5"/>
        <item m="1" x="6"/>
        <item t="default"/>
      </items>
    </pivotField>
    <pivotField showAll="0"/>
    <pivotField axis="axisRow" showAll="0" sortType="ascending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2">
    <field x="6"/>
    <field x="4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Engagement rate % 2" fld="28" baseField="6" baseItem="0"/>
  </dataFields>
  <formats count="2">
    <format dxfId="62">
      <pivotArea collapsedLevelsAreSubtotals="1" fieldPosition="0">
        <references count="1">
          <reference field="6" count="1">
            <x v="0"/>
          </reference>
        </references>
      </pivotArea>
    </format>
    <format dxfId="61">
      <pivotArea outline="0" collapsedLevelsAreSubtotals="1" fieldPosition="0"/>
    </format>
  </format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B73BE-56D1-4414-A9E4-FD920B41F58F}" name="PivotTable16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>
  <location ref="B87:D93" firstHeaderRow="0" firstDataRow="1" firstDataCol="1"/>
  <pivotFields count="29">
    <pivotField showAll="0"/>
    <pivotField axis="axisRow" showAll="0" sortType="descending">
      <items count="7">
        <item m="1"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3"/>
    </i>
    <i>
      <x v="2"/>
    </i>
    <i>
      <x v="4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_Satisfaction_Score" fld="14" subtotal="average" baseField="1" baseItem="0"/>
    <dataField name="Average of Engagement Rate %" fld="15" subtotal="average" baseField="1" baseItem="0"/>
  </dataFields>
  <formats count="1">
    <format dxfId="63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0E807-13B7-4EED-A4EC-3FAD725DEDB2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5:G16" firstHeaderRow="1" firstDataRow="1" firstDataCol="0"/>
  <pivotFields count="29">
    <pivotField showAll="0"/>
    <pivotField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Conversion Rate %" fld="16" subtotal="average" baseField="0" baseItem="9" numFmtId="10"/>
  </dataFields>
  <formats count="2">
    <format dxfId="65">
      <pivotArea dataOnly="0" outline="0" axis="axisValues" fieldPosition="0"/>
    </format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84DE5-5009-43D1-9540-5290ADCCC132}" name="PivotTable12" cacheId="0" dataPosition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chartFormat="22">
  <location ref="A33:C39" firstHeaderRow="0" firstDataRow="1" firstDataCol="1"/>
  <pivotFields count="29">
    <pivotField showAll="0"/>
    <pivotField axis="axisRow" showAll="0" sortType="descending">
      <items count="7">
        <item m="1"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 v="3"/>
    </i>
    <i>
      <x v="2"/>
    </i>
    <i>
      <x v="4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C" fld="17" subtotal="average" baseField="1" baseItem="1"/>
    <dataField name="Average of Customer_Satisfaction_Score" fld="14" subtotal="average" baseField="1" baseItem="1" numFmtId="2"/>
  </dataFields>
  <formats count="1"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5778E-7467-4172-9B5C-2B3F8541F218}" name="PivotTable3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>
  <location ref="A22:B28" firstHeaderRow="1" firstDataRow="1" firstDataCol="1"/>
  <pivotFields count="29">
    <pivotField showAll="0"/>
    <pivotField axis="axisRow"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onversion Rate %" fld="16" subtotal="average" baseField="1" baseItem="0" numFmtId="9"/>
  </dataFields>
  <formats count="2">
    <format dxfId="69">
      <pivotArea outline="0" collapsedLevelsAreSubtotals="1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ACE40-45ED-4B49-9BC4-99DA3BEF00F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C10" firstHeaderRow="0" firstDataRow="1" firstDataCol="1"/>
  <pivotFields count="29">
    <pivotField showAll="0"/>
    <pivotField showAll="0"/>
    <pivotField showAll="0"/>
    <pivotField showAll="0"/>
    <pivotField axis="axisRow" showAll="0" sortType="descending">
      <items count="8">
        <item x="1"/>
        <item x="4"/>
        <item x="3"/>
        <item x="0"/>
        <item x="2"/>
        <item x="5"/>
        <item m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3"/>
    </i>
    <i>
      <x v="5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nversion Rate %" fld="16" subtotal="average" baseField="4" baseItem="0"/>
    <dataField name="Sum of Return on Ad spend" fld="18" baseField="0" baseItem="0"/>
  </dataFields>
  <formats count="2">
    <format dxfId="71">
      <pivotArea dataOnly="0" outline="0" fieldPosition="0">
        <references count="1">
          <reference field="4294967294" count="1">
            <x v="0"/>
          </reference>
        </references>
      </pivotArea>
    </format>
    <format dxfId="70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BFB5A-08C9-4F39-B0DE-75092F7BF343}" name="PivotTable4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 chartFormat="5">
  <location ref="D22:E27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9" baseField="5" baseItem="0" numFmtId="43"/>
  </dataFields>
  <formats count="2">
    <format dxfId="73">
      <pivotArea outline="0" collapsedLevelsAreSubtotals="1" fieldPosition="0"/>
    </format>
    <format dxfId="72">
      <pivotArea dataOnly="0" labelOnly="1" outline="0" axis="axisValues" fieldPosition="0"/>
    </format>
  </formats>
  <chartFormats count="5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476CF-1B37-4151-8BE6-E21ADFEDA3D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D13:E19" firstHeaderRow="1" firstDataRow="1" firstDataCol="1"/>
  <pivotFields count="29">
    <pivotField showAll="0"/>
    <pivotField axis="axisRow"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>
      <items count="8">
        <item h="1" x="1"/>
        <item x="4"/>
        <item h="1" x="3"/>
        <item h="1" x="0"/>
        <item h="1" x="2"/>
        <item h="1" x="5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9" baseField="0" baseItem="0" numFmtId="43"/>
  </dataFields>
  <formats count="2">
    <format dxfId="75">
      <pivotArea outline="0" collapsedLevelsAreSubtotals="1" fieldPosition="0"/>
    </format>
    <format dxfId="74">
      <pivotArea dataOnly="0" labelOnly="1" outline="0" axis="axisValues" fieldPosition="0"/>
    </format>
  </format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693E2-815C-452A-9A16-1274EC29A45E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4:C45" firstHeaderRow="0" firstDataRow="1" firstDataCol="0"/>
  <pivotFields count="29">
    <pivotField showAll="0"/>
    <pivotField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_Generated" fld="12" baseField="0" baseItem="0" numFmtId="43"/>
    <dataField name="Sum of Ad_Spend" fld="8" baseField="0" baseItem="2" numFmtId="43"/>
  </dataFields>
  <formats count="3">
    <format dxfId="80">
      <pivotArea outline="0" collapsedLevelsAreSubtotals="1" fieldPosition="0"/>
    </format>
    <format dxfId="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5508F-D1E4-4F7E-A88F-98B2DCCE7CEC}" name="PivotTable10" cacheId="0" applyNumberFormats="0" applyBorderFormats="0" applyFontFormats="0" applyPatternFormats="0" applyAlignmentFormats="0" applyWidthHeightFormats="1" dataCaption="Values" updatedVersion="7" minRefreshableVersion="3" itemPrintTitles="1" createdVersion="7" indent="0" outline="1" outlineData="1" multipleFieldFilters="0">
  <location ref="F1:G11" firstHeaderRow="1" firstDataRow="1" firstDataCol="1"/>
  <pivotFields count="29">
    <pivotField showAll="0"/>
    <pivotField showAll="0"/>
    <pivotField showAll="0"/>
    <pivotField showAll="0"/>
    <pivotField axis="axisRow" showAll="0" sortType="descending">
      <items count="8">
        <item x="1"/>
        <item sd="0" x="4"/>
        <item sd="0" x="3"/>
        <item sd="0" x="0"/>
        <item sd="0" x="2"/>
        <item sd="0" x="5"/>
        <item m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4"/>
    <field x="13"/>
  </rowFields>
  <rowItems count="10">
    <i>
      <x/>
    </i>
    <i r="1">
      <x/>
    </i>
    <i r="1">
      <x v="1"/>
    </i>
    <i r="1">
      <x v="2"/>
    </i>
    <i>
      <x v="4"/>
    </i>
    <i>
      <x v="5"/>
    </i>
    <i>
      <x v="1"/>
    </i>
    <i>
      <x v="2"/>
    </i>
    <i>
      <x v="3"/>
    </i>
    <i t="grand">
      <x/>
    </i>
  </rowItems>
  <colItems count="1">
    <i/>
  </colItems>
  <dataFields count="1">
    <dataField name="Average of Customer_Satisfaction_Score" fld="14" subtotal="average" baseField="4" baseItem="0" numFmtId="2"/>
  </dataFields>
  <formats count="1"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21340-B62B-48E4-B571-09CE2243D1E3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3:C19" firstHeaderRow="0" firstDataRow="1" firstDataCol="1"/>
  <pivotFields count="29">
    <pivotField showAll="0"/>
    <pivotField axis="axisRow" showAll="0">
      <items count="7">
        <item x="3"/>
        <item x="1"/>
        <item x="2"/>
        <item x="4"/>
        <item x="0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 %" fld="15" subtotal="average" baseField="1" baseItem="0" numFmtId="9"/>
    <dataField name="Average of Conversion Rate %" fld="16" subtotal="average" baseField="1" baseItem="3"/>
  </dataFields>
  <formats count="2">
    <format dxfId="85">
      <pivotArea outline="0" collapsedLevelsAreSubtotals="1" fieldPosition="0"/>
    </format>
    <format dxfId="84">
      <pivotArea dataOnly="0" labelOnly="1" outline="0" axis="axisValues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B33A19B-56DA-4199-AC16-07AA33E3FB6F}" autoFormatId="16" applyNumberFormats="0" applyBorderFormats="0" applyFontFormats="0" applyPatternFormats="0" applyAlignmentFormats="0" applyWidthHeightFormats="0">
  <queryTableRefresh nextId="31">
    <queryTableFields count="26">
      <queryTableField id="1" name="Campaign_ID" tableColumnId="1"/>
      <queryTableField id="2" name="Campaign_Name" tableColumnId="2"/>
      <queryTableField id="3" name="Start_Date" tableColumnId="3"/>
      <queryTableField id="4" name="End_Date" tableColumnId="4"/>
      <queryTableField id="5" name="Marketing_Channel" tableColumnId="5"/>
      <queryTableField id="6" name="Region" tableColumnId="6"/>
      <queryTableField id="7" name="Target_Audience_Age" tableColumnId="7"/>
      <queryTableField id="8" name="Gender" tableColumnId="8"/>
      <queryTableField id="9" name="Ad_Spend" tableColumnId="9"/>
      <queryTableField id="10" name="Impressions" tableColumnId="10"/>
      <queryTableField id="11" name="Clicks" tableColumnId="11"/>
      <queryTableField id="12" name="Conversions" tableColumnId="12"/>
      <queryTableField id="13" name="Revenue_Generated" tableColumnId="13"/>
      <queryTableField id="14" name="Device_Type" tableColumnId="14"/>
      <queryTableField id="15" name="Customer_Satisfaction_Score" tableColumnId="15"/>
      <queryTableField id="16" name="Engagement Rate %" tableColumnId="16"/>
      <queryTableField id="17" name="Conversion Rate %" tableColumnId="17"/>
      <queryTableField id="18" name="CAC" tableColumnId="18"/>
      <queryTableField id="19" name="Return on Ad spend" tableColumnId="19"/>
      <queryTableField id="20" name="Profit" tableColumnId="20"/>
      <queryTableField id="22" name="New End Date" tableColumnId="22"/>
      <queryTableField id="25" dataBound="0" tableColumnId="25"/>
      <queryTableField id="23" name="Campaign Duration" tableColumnId="23"/>
      <queryTableField id="24" name="Revenue per click" tableColumnId="24"/>
      <queryTableField id="29" name="Conversions per ₹ Spent" tableColumnId="26"/>
      <queryTableField id="30" name="Ad_spend % of revenue" tableColumnId="27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DA1DC-D58E-454B-A732-AC0E8E8E5C0C}" name="Main_Table1" displayName="Main_Table1" ref="A1:Z351" tableType="queryTable" totalsRowShown="0">
  <autoFilter ref="A1:Z351" xr:uid="{ABFDA1DC-D58E-454B-A732-AC0E8E8E5C0C}"/>
  <sortState xmlns:xlrd2="http://schemas.microsoft.com/office/spreadsheetml/2017/richdata2" ref="A2:Z351">
    <sortCondition ref="A1:A351"/>
  </sortState>
  <tableColumns count="26">
    <tableColumn id="1" xr3:uid="{31E692BF-19E0-4389-BAB7-FC218A469ED7}" uniqueName="1" name="Campaign_ID" queryTableFieldId="1" dataDxfId="53"/>
    <tableColumn id="2" xr3:uid="{75CCC19F-B160-4D8E-B93B-20D3E0FEB5C4}" uniqueName="2" name="Campaign_Name" queryTableFieldId="2" dataDxfId="52"/>
    <tableColumn id="3" xr3:uid="{61B8DD0D-E890-4FA4-9661-EAB34A9DD213}" uniqueName="3" name="Start_Date" queryTableFieldId="3" dataDxfId="51"/>
    <tableColumn id="4" xr3:uid="{3AD0CDCC-C8F3-4066-A43E-8FBDC03F9AA9}" uniqueName="4" name="End_Date" queryTableFieldId="4" dataDxfId="50"/>
    <tableColumn id="5" xr3:uid="{01395289-EB56-4536-9E0D-9DF57C80E2D4}" uniqueName="5" name="Marketing_Channel" queryTableFieldId="5" dataDxfId="49"/>
    <tableColumn id="6" xr3:uid="{225CFD28-4CB0-4BDD-BA77-0BF43EC26E42}" uniqueName="6" name="Region" queryTableFieldId="6" dataDxfId="48"/>
    <tableColumn id="7" xr3:uid="{42F025EF-4577-40E3-B8BC-52B4D88375D2}" uniqueName="7" name="Target_Audience_Age" queryTableFieldId="7" dataDxfId="47"/>
    <tableColumn id="8" xr3:uid="{6E5EFD7D-8D4C-4D57-9AD6-2D0E328D52E1}" uniqueName="8" name="Gender" queryTableFieldId="8" dataDxfId="46"/>
    <tableColumn id="9" xr3:uid="{CDBCE257-0D88-410D-B3D7-CDF4023631AB}" uniqueName="9" name="Ad_Spend" queryTableFieldId="9"/>
    <tableColumn id="10" xr3:uid="{10B49214-C0B2-411E-A243-DBA0F2F45CF9}" uniqueName="10" name="Impressions" queryTableFieldId="10"/>
    <tableColumn id="11" xr3:uid="{00D360DF-AA47-48C3-B7A7-75B927060BE0}" uniqueName="11" name="Clicks" queryTableFieldId="11"/>
    <tableColumn id="12" xr3:uid="{D5500DC5-9364-4004-B3C7-F94BEAB0354F}" uniqueName="12" name="Conversions" queryTableFieldId="12"/>
    <tableColumn id="13" xr3:uid="{DEECC5AE-E670-45B7-8485-AFE8051DC45B}" uniqueName="13" name="Revenue_Generated" queryTableFieldId="13"/>
    <tableColumn id="14" xr3:uid="{772E5D80-95AC-4DE5-A026-BA1B227C8F1D}" uniqueName="14" name="Device_Type" queryTableFieldId="14" dataDxfId="45"/>
    <tableColumn id="15" xr3:uid="{FD6C3FDB-34C5-41E4-9173-788618BFF22E}" uniqueName="15" name="Customer_Satisfaction_Score" queryTableFieldId="15"/>
    <tableColumn id="16" xr3:uid="{C3DD2ECE-BF71-4436-86B0-9355A77DF426}" uniqueName="16" name="Engagement Rate %" queryTableFieldId="16" dataDxfId="44" dataCellStyle="Per cent"/>
    <tableColumn id="17" xr3:uid="{1EC52733-C25E-4610-996D-482C72187AF3}" uniqueName="17" name="Conversion Rate %" queryTableFieldId="17" dataDxfId="43" dataCellStyle="Per cent"/>
    <tableColumn id="18" xr3:uid="{7E36E71F-0A66-415B-9A31-1A60E9589955}" uniqueName="18" name="CAC" queryTableFieldId="18" dataDxfId="42"/>
    <tableColumn id="19" xr3:uid="{9F4D1AF3-AFAC-4988-83A9-6AB911C3CD8E}" uniqueName="19" name="Return on Ad spend" queryTableFieldId="19" dataDxfId="41"/>
    <tableColumn id="20" xr3:uid="{719354B5-D81A-4155-AA63-BEE39305EC1B}" uniqueName="20" name="Profit" queryTableFieldId="20" dataDxfId="40"/>
    <tableColumn id="22" xr3:uid="{2CC3271C-61FE-463C-B009-4DA01E631A19}" uniqueName="22" name="New End Date" queryTableFieldId="22" dataDxfId="39"/>
    <tableColumn id="25" xr3:uid="{77415BC7-B372-474E-955F-B6E93F91955C}" uniqueName="25" name="Bounce_Rate(%)" queryTableFieldId="25" dataDxfId="38" dataCellStyle="Per cent"/>
    <tableColumn id="23" xr3:uid="{7FC3F728-4DB3-4C85-AAA8-EF5C71E152E4}" uniqueName="23" name="Campaign Duration" queryTableFieldId="23"/>
    <tableColumn id="24" xr3:uid="{0F40E653-4BAE-488F-9645-017194EEBCD8}" uniqueName="24" name="Revenue per click" queryTableFieldId="24" dataDxfId="37"/>
    <tableColumn id="26" xr3:uid="{2DC45E8D-2598-489C-B16B-5725A5C4BA08}" uniqueName="26" name="Conversions per ₹ Spent" queryTableFieldId="29" dataDxfId="36"/>
    <tableColumn id="27" xr3:uid="{AEF8611E-D702-40C6-9011-C459B4DAE076}" uniqueName="27" name="Ad_spend % of revenue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DFC8-F038-4BD0-B703-D2627F470C2E}">
  <sheetPr codeName="Sheet2"/>
  <dimension ref="A1:K105"/>
  <sheetViews>
    <sheetView zoomScale="104" workbookViewId="0">
      <selection activeCell="B44" sqref="B44:C45"/>
    </sheetView>
  </sheetViews>
  <sheetFormatPr defaultRowHeight="14.4" x14ac:dyDescent="0.3"/>
  <cols>
    <col min="1" max="1" width="17.77734375" bestFit="1" customWidth="1"/>
    <col min="2" max="2" width="27.6640625" bestFit="1" customWidth="1"/>
    <col min="3" max="3" width="36.6640625" bestFit="1" customWidth="1"/>
    <col min="4" max="4" width="17.77734375" bestFit="1" customWidth="1"/>
    <col min="5" max="5" width="18.5546875" bestFit="1" customWidth="1"/>
    <col min="6" max="6" width="25.77734375" bestFit="1" customWidth="1"/>
    <col min="7" max="7" width="48.5546875" bestFit="1" customWidth="1"/>
    <col min="8" max="8" width="24" bestFit="1" customWidth="1"/>
    <col min="9" max="9" width="24.44140625" bestFit="1" customWidth="1"/>
    <col min="10" max="10" width="33.6640625" bestFit="1" customWidth="1"/>
    <col min="11" max="11" width="35.77734375" bestFit="1" customWidth="1"/>
    <col min="14" max="14" width="27.21875" bestFit="1" customWidth="1"/>
    <col min="16" max="16" width="24.88671875" bestFit="1" customWidth="1"/>
    <col min="17" max="17" width="16.21875" bestFit="1" customWidth="1"/>
    <col min="18" max="18" width="19.33203125" bestFit="1" customWidth="1"/>
  </cols>
  <sheetData>
    <row r="1" spans="1:7" x14ac:dyDescent="0.3">
      <c r="F1" s="4" t="s">
        <v>400</v>
      </c>
      <c r="G1" t="s">
        <v>404</v>
      </c>
    </row>
    <row r="2" spans="1:7" x14ac:dyDescent="0.3">
      <c r="E2" s="19"/>
      <c r="F2" s="5" t="s">
        <v>373</v>
      </c>
      <c r="G2" s="3">
        <v>6.8666666666666663</v>
      </c>
    </row>
    <row r="3" spans="1:7" x14ac:dyDescent="0.3">
      <c r="A3" s="4" t="s">
        <v>400</v>
      </c>
      <c r="B3" s="9" t="s">
        <v>410</v>
      </c>
      <c r="C3" s="3" t="s">
        <v>399</v>
      </c>
      <c r="E3" s="9"/>
      <c r="F3" s="6" t="s">
        <v>390</v>
      </c>
      <c r="G3" s="3">
        <v>6.5789473684210522</v>
      </c>
    </row>
    <row r="4" spans="1:7" x14ac:dyDescent="0.3">
      <c r="A4" s="5" t="s">
        <v>373</v>
      </c>
      <c r="B4" s="9">
        <v>6.1958972298885029E-2</v>
      </c>
      <c r="C4" s="3">
        <v>315.95334638058853</v>
      </c>
      <c r="E4" s="9"/>
      <c r="F4" s="6" t="s">
        <v>389</v>
      </c>
      <c r="G4" s="3">
        <v>7.041666666666667</v>
      </c>
    </row>
    <row r="5" spans="1:7" x14ac:dyDescent="0.3">
      <c r="A5" s="5" t="s">
        <v>376</v>
      </c>
      <c r="B5" s="9">
        <v>9.0558703016283076E-2</v>
      </c>
      <c r="C5" s="3">
        <v>291.46507760688314</v>
      </c>
      <c r="E5" s="9"/>
      <c r="F5" s="6" t="s">
        <v>391</v>
      </c>
      <c r="G5" s="3">
        <v>6.9411764705882355</v>
      </c>
    </row>
    <row r="6" spans="1:7" x14ac:dyDescent="0.3">
      <c r="A6" s="5" t="s">
        <v>372</v>
      </c>
      <c r="B6" s="9">
        <v>0.13749387733646354</v>
      </c>
      <c r="C6" s="3">
        <v>289.32651219373219</v>
      </c>
      <c r="E6" s="9"/>
      <c r="F6" s="5" t="s">
        <v>374</v>
      </c>
      <c r="G6" s="3">
        <v>6.65</v>
      </c>
    </row>
    <row r="7" spans="1:7" x14ac:dyDescent="0.3">
      <c r="A7" s="5" t="s">
        <v>377</v>
      </c>
      <c r="B7" s="9">
        <v>8.3475191334457091E-2</v>
      </c>
      <c r="C7" s="3">
        <v>258.09861127015603</v>
      </c>
      <c r="E7" s="9"/>
      <c r="F7" s="5" t="s">
        <v>377</v>
      </c>
      <c r="G7" s="3">
        <v>6.6363636363636367</v>
      </c>
    </row>
    <row r="8" spans="1:7" x14ac:dyDescent="0.3">
      <c r="A8" s="5" t="s">
        <v>374</v>
      </c>
      <c r="B8" s="9">
        <v>8.8423699791063071E-2</v>
      </c>
      <c r="C8" s="3">
        <v>227.07806273318073</v>
      </c>
      <c r="E8" s="9"/>
      <c r="F8" s="5" t="s">
        <v>376</v>
      </c>
      <c r="G8" s="3">
        <v>6.5454545454545459</v>
      </c>
    </row>
    <row r="9" spans="1:7" x14ac:dyDescent="0.3">
      <c r="A9" s="5" t="s">
        <v>375</v>
      </c>
      <c r="B9" s="9">
        <v>9.2421013789235479E-2</v>
      </c>
      <c r="C9" s="3">
        <v>181.83747475799512</v>
      </c>
      <c r="E9" s="18"/>
      <c r="F9" s="5" t="s">
        <v>375</v>
      </c>
      <c r="G9" s="3">
        <v>6.5</v>
      </c>
    </row>
    <row r="10" spans="1:7" x14ac:dyDescent="0.3">
      <c r="A10" s="5" t="s">
        <v>401</v>
      </c>
      <c r="B10" s="9">
        <v>9.2869860441053539E-2</v>
      </c>
      <c r="C10" s="3">
        <v>1563.7590849425349</v>
      </c>
      <c r="F10" s="5" t="s">
        <v>372</v>
      </c>
      <c r="G10" s="3">
        <v>6.412698412698413</v>
      </c>
    </row>
    <row r="11" spans="1:7" x14ac:dyDescent="0.3">
      <c r="F11" s="5" t="s">
        <v>401</v>
      </c>
      <c r="G11" s="3">
        <v>6.6028571428571432</v>
      </c>
    </row>
    <row r="13" spans="1:7" x14ac:dyDescent="0.3">
      <c r="A13" s="4" t="s">
        <v>400</v>
      </c>
      <c r="B13" t="s">
        <v>405</v>
      </c>
      <c r="C13" t="s">
        <v>410</v>
      </c>
      <c r="D13" s="4" t="s">
        <v>400</v>
      </c>
      <c r="E13" s="15" t="s">
        <v>402</v>
      </c>
    </row>
    <row r="14" spans="1:7" x14ac:dyDescent="0.3">
      <c r="A14" s="5" t="s">
        <v>370</v>
      </c>
      <c r="B14" s="9">
        <v>3.0190295258242315E-2</v>
      </c>
      <c r="C14" s="9">
        <v>9.9066610495205903E-2</v>
      </c>
      <c r="D14" s="5" t="s">
        <v>370</v>
      </c>
      <c r="E14" s="15">
        <v>5026860.6499999994</v>
      </c>
    </row>
    <row r="15" spans="1:7" x14ac:dyDescent="0.3">
      <c r="A15" s="5" t="s">
        <v>368</v>
      </c>
      <c r="B15" s="9">
        <v>4.2061834237345566E-2</v>
      </c>
      <c r="C15" s="9">
        <v>9.120258680533494E-2</v>
      </c>
      <c r="D15" s="5" t="s">
        <v>368</v>
      </c>
      <c r="E15" s="15">
        <v>4996870.0099999988</v>
      </c>
      <c r="G15" s="13" t="s">
        <v>410</v>
      </c>
    </row>
    <row r="16" spans="1:7" x14ac:dyDescent="0.3">
      <c r="A16" s="5" t="s">
        <v>369</v>
      </c>
      <c r="B16" s="9">
        <v>4.1269939864744525E-2</v>
      </c>
      <c r="C16" s="9">
        <v>7.1337408390644896E-2</v>
      </c>
      <c r="D16" s="5" t="s">
        <v>369</v>
      </c>
      <c r="E16" s="15">
        <v>5159097.3499999996</v>
      </c>
      <c r="G16" s="13">
        <v>9.2869860441053498E-2</v>
      </c>
    </row>
    <row r="17" spans="1:11" x14ac:dyDescent="0.3">
      <c r="A17" s="5" t="s">
        <v>371</v>
      </c>
      <c r="B17" s="9">
        <v>5.8927354693054136E-2</v>
      </c>
      <c r="C17" s="9">
        <v>9.0410195991296252E-2</v>
      </c>
      <c r="D17" s="5" t="s">
        <v>371</v>
      </c>
      <c r="E17" s="15">
        <v>6510558.7900000038</v>
      </c>
    </row>
    <row r="18" spans="1:11" ht="21" x14ac:dyDescent="0.4">
      <c r="A18" s="5" t="s">
        <v>367</v>
      </c>
      <c r="B18" s="9">
        <v>3.4847932256056438E-2</v>
      </c>
      <c r="C18" s="9">
        <v>0.1106798616199704</v>
      </c>
      <c r="D18" s="5" t="s">
        <v>367</v>
      </c>
      <c r="E18" s="15">
        <v>7275330.5500000007</v>
      </c>
      <c r="G18" s="16"/>
      <c r="H18" s="16"/>
      <c r="I18" s="16"/>
    </row>
    <row r="19" spans="1:11" x14ac:dyDescent="0.3">
      <c r="A19" s="5" t="s">
        <v>401</v>
      </c>
      <c r="B19" s="9">
        <v>4.2017626231037823E-2</v>
      </c>
      <c r="C19" s="9">
        <v>9.2869860441053553E-2</v>
      </c>
      <c r="D19" s="5" t="s">
        <v>401</v>
      </c>
      <c r="E19" s="15">
        <v>28968717.350000001</v>
      </c>
      <c r="G19" t="s">
        <v>402</v>
      </c>
    </row>
    <row r="20" spans="1:11" ht="21" x14ac:dyDescent="0.4">
      <c r="G20" s="12">
        <v>28968717.35000002</v>
      </c>
      <c r="J20" s="16"/>
      <c r="K20" s="16"/>
    </row>
    <row r="22" spans="1:11" x14ac:dyDescent="0.3">
      <c r="A22" s="4" t="s">
        <v>400</v>
      </c>
      <c r="B22" s="9" t="s">
        <v>410</v>
      </c>
      <c r="D22" s="4" t="s">
        <v>400</v>
      </c>
      <c r="E22" s="15" t="s">
        <v>402</v>
      </c>
    </row>
    <row r="23" spans="1:11" x14ac:dyDescent="0.3">
      <c r="A23" s="5" t="s">
        <v>370</v>
      </c>
      <c r="B23" s="9">
        <v>9.9066610495205903E-2</v>
      </c>
      <c r="D23" s="5" t="s">
        <v>380</v>
      </c>
      <c r="E23" s="15">
        <v>6472458.1100000013</v>
      </c>
      <c r="G23" t="s">
        <v>405</v>
      </c>
    </row>
    <row r="24" spans="1:11" x14ac:dyDescent="0.3">
      <c r="A24" s="5" t="s">
        <v>368</v>
      </c>
      <c r="B24" s="9">
        <v>9.120258680533494E-2</v>
      </c>
      <c r="D24" s="5" t="s">
        <v>379</v>
      </c>
      <c r="E24" s="15">
        <v>7082198.6900000023</v>
      </c>
      <c r="G24" s="13">
        <v>4.2017626231037851E-2</v>
      </c>
    </row>
    <row r="25" spans="1:11" x14ac:dyDescent="0.3">
      <c r="A25" s="5" t="s">
        <v>369</v>
      </c>
      <c r="B25" s="9">
        <v>7.1337408390644896E-2</v>
      </c>
      <c r="D25" s="5" t="s">
        <v>381</v>
      </c>
      <c r="E25" s="15">
        <v>7399697.8900000025</v>
      </c>
    </row>
    <row r="26" spans="1:11" x14ac:dyDescent="0.3">
      <c r="A26" s="5" t="s">
        <v>371</v>
      </c>
      <c r="B26" s="9">
        <v>9.0410195991296252E-2</v>
      </c>
      <c r="D26" s="5" t="s">
        <v>378</v>
      </c>
      <c r="E26" s="15">
        <v>8014362.6600000011</v>
      </c>
    </row>
    <row r="27" spans="1:11" x14ac:dyDescent="0.3">
      <c r="A27" s="5" t="s">
        <v>367</v>
      </c>
      <c r="B27" s="9">
        <v>0.1106798616199704</v>
      </c>
      <c r="D27" s="5" t="s">
        <v>401</v>
      </c>
      <c r="E27" s="15">
        <v>28968717.350000005</v>
      </c>
    </row>
    <row r="28" spans="1:11" x14ac:dyDescent="0.3">
      <c r="A28" s="5" t="s">
        <v>401</v>
      </c>
      <c r="B28" s="9">
        <v>9.2869860441053553E-2</v>
      </c>
      <c r="G28" s="3" t="s">
        <v>404</v>
      </c>
      <c r="H28" s="8"/>
    </row>
    <row r="29" spans="1:11" x14ac:dyDescent="0.3">
      <c r="G29" s="3">
        <v>6.6028571428571432</v>
      </c>
      <c r="H29" s="8"/>
    </row>
    <row r="30" spans="1:11" x14ac:dyDescent="0.3">
      <c r="D30" s="22"/>
      <c r="G30" s="8"/>
      <c r="H30" s="8"/>
    </row>
    <row r="31" spans="1:11" x14ac:dyDescent="0.3">
      <c r="D31" s="5"/>
      <c r="G31" s="8"/>
      <c r="H31" s="8"/>
    </row>
    <row r="32" spans="1:11" x14ac:dyDescent="0.3">
      <c r="D32" s="5"/>
      <c r="H32" s="8"/>
    </row>
    <row r="33" spans="1:8" x14ac:dyDescent="0.3">
      <c r="A33" s="4" t="s">
        <v>400</v>
      </c>
      <c r="B33" t="s">
        <v>406</v>
      </c>
      <c r="C33" t="s">
        <v>404</v>
      </c>
      <c r="D33" s="5"/>
      <c r="H33" s="8"/>
    </row>
    <row r="34" spans="1:8" x14ac:dyDescent="0.3">
      <c r="A34" s="5" t="s">
        <v>369</v>
      </c>
      <c r="B34" s="1">
        <v>114.12616661011008</v>
      </c>
      <c r="C34" s="3">
        <v>6.76056338028169</v>
      </c>
      <c r="D34" s="5"/>
      <c r="E34" s="4" t="s">
        <v>400</v>
      </c>
      <c r="F34" t="s">
        <v>412</v>
      </c>
      <c r="G34" s="8"/>
    </row>
    <row r="35" spans="1:8" x14ac:dyDescent="0.3">
      <c r="A35" s="5" t="s">
        <v>371</v>
      </c>
      <c r="B35" s="1">
        <v>89.406534349167742</v>
      </c>
      <c r="C35" s="3">
        <v>6.7374999999999998</v>
      </c>
      <c r="D35" s="21"/>
      <c r="E35" s="5" t="s">
        <v>382</v>
      </c>
      <c r="F35" s="9">
        <v>2.2019581363224874E-2</v>
      </c>
    </row>
    <row r="36" spans="1:8" x14ac:dyDescent="0.3">
      <c r="A36" s="5" t="s">
        <v>368</v>
      </c>
      <c r="B36" s="1">
        <v>104.66149616781561</v>
      </c>
      <c r="C36" s="3">
        <v>6.6491228070175437</v>
      </c>
      <c r="E36" s="6" t="s">
        <v>373</v>
      </c>
      <c r="F36" s="9">
        <v>2.7224839916262886E-2</v>
      </c>
      <c r="H36" s="8"/>
    </row>
    <row r="37" spans="1:8" ht="21" x14ac:dyDescent="0.4">
      <c r="A37" s="5" t="s">
        <v>367</v>
      </c>
      <c r="B37" s="1">
        <v>68.957773616159557</v>
      </c>
      <c r="C37" s="3">
        <v>6.5925925925925926</v>
      </c>
      <c r="D37" s="20"/>
      <c r="E37" s="6" t="s">
        <v>376</v>
      </c>
      <c r="F37" s="9">
        <v>2.4396081372659095E-2</v>
      </c>
    </row>
    <row r="38" spans="1:8" x14ac:dyDescent="0.3">
      <c r="A38" s="5" t="s">
        <v>370</v>
      </c>
      <c r="B38" s="1">
        <v>69.583863774437503</v>
      </c>
      <c r="C38" s="3">
        <v>6.2131147540983607</v>
      </c>
      <c r="E38" s="6" t="s">
        <v>375</v>
      </c>
      <c r="F38" s="9">
        <v>1.8269890960302383E-2</v>
      </c>
    </row>
    <row r="39" spans="1:8" x14ac:dyDescent="0.3">
      <c r="A39" s="5" t="s">
        <v>401</v>
      </c>
      <c r="B39" s="1">
        <v>88.718232034189541</v>
      </c>
      <c r="C39" s="3">
        <v>6.6028571428571432</v>
      </c>
      <c r="E39" s="6" t="s">
        <v>372</v>
      </c>
      <c r="F39" s="9">
        <v>1.8288333507073189E-2</v>
      </c>
    </row>
    <row r="40" spans="1:8" x14ac:dyDescent="0.3">
      <c r="E40" s="6" t="s">
        <v>374</v>
      </c>
      <c r="F40" s="9">
        <v>1.7784014821398339E-2</v>
      </c>
    </row>
    <row r="41" spans="1:8" x14ac:dyDescent="0.3">
      <c r="E41" s="6" t="s">
        <v>377</v>
      </c>
      <c r="F41" s="9">
        <v>3.1741820826441225E-2</v>
      </c>
    </row>
    <row r="42" spans="1:8" x14ac:dyDescent="0.3">
      <c r="E42" s="5" t="s">
        <v>383</v>
      </c>
      <c r="F42" s="9">
        <v>2.3828495442719023E-2</v>
      </c>
    </row>
    <row r="43" spans="1:8" x14ac:dyDescent="0.3">
      <c r="E43" s="6" t="s">
        <v>373</v>
      </c>
      <c r="F43" s="9">
        <v>2.8231114826036987E-2</v>
      </c>
    </row>
    <row r="44" spans="1:8" x14ac:dyDescent="0.3">
      <c r="B44" t="s">
        <v>408</v>
      </c>
      <c r="C44" t="s">
        <v>407</v>
      </c>
      <c r="E44" s="6" t="s">
        <v>376</v>
      </c>
      <c r="F44" s="9">
        <v>2.552789416544491E-2</v>
      </c>
    </row>
    <row r="45" spans="1:8" x14ac:dyDescent="0.3">
      <c r="B45" s="15">
        <v>46926255.440000013</v>
      </c>
      <c r="C45" s="15">
        <v>17957538.089999992</v>
      </c>
      <c r="E45" s="6" t="s">
        <v>375</v>
      </c>
      <c r="F45" s="9">
        <v>1.9171530200114927E-2</v>
      </c>
    </row>
    <row r="46" spans="1:8" x14ac:dyDescent="0.3">
      <c r="E46" s="6" t="s">
        <v>372</v>
      </c>
      <c r="F46" s="9">
        <v>2.829997390107589E-2</v>
      </c>
    </row>
    <row r="47" spans="1:8" x14ac:dyDescent="0.3">
      <c r="E47" s="6" t="s">
        <v>374</v>
      </c>
      <c r="F47" s="9">
        <v>1.8235816003919967E-2</v>
      </c>
    </row>
    <row r="48" spans="1:8" x14ac:dyDescent="0.3">
      <c r="E48" s="6" t="s">
        <v>377</v>
      </c>
      <c r="F48" s="9">
        <v>2.4856310450498187E-2</v>
      </c>
    </row>
    <row r="49" spans="5:6" x14ac:dyDescent="0.3">
      <c r="E49" s="5" t="s">
        <v>385</v>
      </c>
      <c r="F49" s="9">
        <v>2.7163303860589395E-2</v>
      </c>
    </row>
    <row r="50" spans="5:6" x14ac:dyDescent="0.3">
      <c r="E50" s="6" t="s">
        <v>373</v>
      </c>
      <c r="F50" s="9">
        <v>3.1779087237901647E-2</v>
      </c>
    </row>
    <row r="51" spans="5:6" x14ac:dyDescent="0.3">
      <c r="E51" s="6" t="s">
        <v>376</v>
      </c>
      <c r="F51" s="9">
        <v>2.6261357649250427E-2</v>
      </c>
    </row>
    <row r="52" spans="5:6" x14ac:dyDescent="0.3">
      <c r="E52" s="6" t="s">
        <v>375</v>
      </c>
      <c r="F52" s="9">
        <v>2.6567175345463712E-2</v>
      </c>
    </row>
    <row r="53" spans="5:6" x14ac:dyDescent="0.3">
      <c r="E53" s="6" t="s">
        <v>372</v>
      </c>
      <c r="F53" s="9">
        <v>2.1289570309013055E-2</v>
      </c>
    </row>
    <row r="54" spans="5:6" x14ac:dyDescent="0.3">
      <c r="E54" s="6" t="s">
        <v>374</v>
      </c>
      <c r="F54" s="9">
        <v>2.9845728472010662E-2</v>
      </c>
    </row>
    <row r="55" spans="5:6" x14ac:dyDescent="0.3">
      <c r="E55" s="6" t="s">
        <v>377</v>
      </c>
      <c r="F55" s="9">
        <v>2.8904226880382786E-2</v>
      </c>
    </row>
    <row r="56" spans="5:6" x14ac:dyDescent="0.3">
      <c r="E56" s="5" t="s">
        <v>384</v>
      </c>
      <c r="F56" s="9">
        <v>2.1436765108818628E-2</v>
      </c>
    </row>
    <row r="57" spans="5:6" x14ac:dyDescent="0.3">
      <c r="E57" s="6" t="s">
        <v>373</v>
      </c>
      <c r="F57" s="9">
        <v>1.817118861458741E-2</v>
      </c>
    </row>
    <row r="58" spans="5:6" x14ac:dyDescent="0.3">
      <c r="E58" s="6" t="s">
        <v>376</v>
      </c>
      <c r="F58" s="9">
        <v>2.726144817196367E-2</v>
      </c>
    </row>
    <row r="59" spans="5:6" x14ac:dyDescent="0.3">
      <c r="E59" s="6" t="s">
        <v>375</v>
      </c>
      <c r="F59" s="9">
        <v>2.3110805012376792E-2</v>
      </c>
    </row>
    <row r="60" spans="5:6" x14ac:dyDescent="0.3">
      <c r="E60" s="6" t="s">
        <v>372</v>
      </c>
      <c r="F60" s="9">
        <v>1.5735783438959816E-2</v>
      </c>
    </row>
    <row r="61" spans="5:6" x14ac:dyDescent="0.3">
      <c r="E61" s="6" t="s">
        <v>374</v>
      </c>
      <c r="F61" s="9">
        <v>2.4378891633972562E-2</v>
      </c>
    </row>
    <row r="62" spans="5:6" x14ac:dyDescent="0.3">
      <c r="E62" s="6" t="s">
        <v>377</v>
      </c>
      <c r="F62" s="9">
        <v>2.4656111126897782E-2</v>
      </c>
    </row>
    <row r="63" spans="5:6" x14ac:dyDescent="0.3">
      <c r="E63" s="5" t="s">
        <v>401</v>
      </c>
      <c r="F63" s="9">
        <v>2.360074166783321E-2</v>
      </c>
    </row>
    <row r="85" spans="2:5" ht="21" x14ac:dyDescent="0.4">
      <c r="B85" s="17"/>
      <c r="C85" s="17"/>
      <c r="D85" s="17"/>
      <c r="E85" s="17"/>
    </row>
    <row r="87" spans="2:5" x14ac:dyDescent="0.3">
      <c r="B87" s="4" t="s">
        <v>400</v>
      </c>
      <c r="C87" t="s">
        <v>404</v>
      </c>
      <c r="D87" s="9" t="s">
        <v>405</v>
      </c>
    </row>
    <row r="88" spans="2:5" x14ac:dyDescent="0.3">
      <c r="B88" s="5" t="s">
        <v>369</v>
      </c>
      <c r="C88" s="1">
        <v>6.76056338028169</v>
      </c>
      <c r="D88" s="9">
        <v>4.1269939864744525E-2</v>
      </c>
    </row>
    <row r="89" spans="2:5" x14ac:dyDescent="0.3">
      <c r="B89" s="5" t="s">
        <v>371</v>
      </c>
      <c r="C89" s="1">
        <v>6.7374999999999998</v>
      </c>
      <c r="D89" s="9">
        <v>5.8927354693054136E-2</v>
      </c>
    </row>
    <row r="90" spans="2:5" x14ac:dyDescent="0.3">
      <c r="B90" s="5" t="s">
        <v>368</v>
      </c>
      <c r="C90" s="1">
        <v>6.6491228070175437</v>
      </c>
      <c r="D90" s="9">
        <v>4.2061834237345566E-2</v>
      </c>
    </row>
    <row r="91" spans="2:5" x14ac:dyDescent="0.3">
      <c r="B91" s="5" t="s">
        <v>367</v>
      </c>
      <c r="C91" s="1">
        <v>6.5925925925925926</v>
      </c>
      <c r="D91" s="9">
        <v>3.4847932256056438E-2</v>
      </c>
    </row>
    <row r="92" spans="2:5" x14ac:dyDescent="0.3">
      <c r="B92" s="5" t="s">
        <v>370</v>
      </c>
      <c r="C92" s="1">
        <v>6.2131147540983607</v>
      </c>
      <c r="D92" s="9">
        <v>3.0190295258242315E-2</v>
      </c>
    </row>
    <row r="93" spans="2:5" x14ac:dyDescent="0.3">
      <c r="B93" s="5" t="s">
        <v>401</v>
      </c>
      <c r="C93" s="1">
        <v>6.6028571428571432</v>
      </c>
      <c r="D93" s="9">
        <v>4.2017626231037837E-2</v>
      </c>
    </row>
    <row r="96" spans="2:5" x14ac:dyDescent="0.3">
      <c r="B96" s="4" t="s">
        <v>400</v>
      </c>
      <c r="C96" s="13" t="s">
        <v>410</v>
      </c>
      <c r="D96" s="3" t="s">
        <v>411</v>
      </c>
    </row>
    <row r="97" spans="2:6" x14ac:dyDescent="0.3">
      <c r="B97" s="5" t="s">
        <v>367</v>
      </c>
      <c r="C97" s="13">
        <v>0.1106798616199704</v>
      </c>
      <c r="D97" s="3">
        <v>45.768518518518533</v>
      </c>
    </row>
    <row r="98" spans="2:6" x14ac:dyDescent="0.3">
      <c r="B98" s="5" t="s">
        <v>370</v>
      </c>
      <c r="C98" s="13">
        <v>9.9066610495205903E-2</v>
      </c>
      <c r="D98" s="3">
        <v>48.39967213114754</v>
      </c>
    </row>
    <row r="99" spans="2:6" x14ac:dyDescent="0.3">
      <c r="B99" s="5" t="s">
        <v>368</v>
      </c>
      <c r="C99" s="13">
        <v>9.120258680533494E-2</v>
      </c>
      <c r="D99" s="3">
        <v>44.562499999999993</v>
      </c>
    </row>
    <row r="100" spans="2:6" x14ac:dyDescent="0.3">
      <c r="B100" s="5" t="s">
        <v>371</v>
      </c>
      <c r="C100" s="13">
        <v>9.0410195991296252E-2</v>
      </c>
      <c r="D100" s="3">
        <v>39.390124999999998</v>
      </c>
    </row>
    <row r="101" spans="2:6" x14ac:dyDescent="0.3">
      <c r="B101" s="5" t="s">
        <v>369</v>
      </c>
      <c r="C101" s="13">
        <v>7.1337408390644896E-2</v>
      </c>
      <c r="D101" s="3">
        <v>43.793380281690141</v>
      </c>
    </row>
    <row r="102" spans="2:6" x14ac:dyDescent="0.3">
      <c r="B102" s="5" t="s">
        <v>401</v>
      </c>
      <c r="C102" s="13">
        <v>9.2869860441053498E-2</v>
      </c>
      <c r="D102" s="3">
        <v>44.170974212034402</v>
      </c>
    </row>
    <row r="105" spans="2:6" ht="21" x14ac:dyDescent="0.4">
      <c r="C105" s="17"/>
      <c r="D105" s="17"/>
      <c r="E105" s="17"/>
      <c r="F105" s="17"/>
    </row>
  </sheetData>
  <mergeCells count="2">
    <mergeCell ref="B85:E85"/>
    <mergeCell ref="C105:F105"/>
  </mergeCells>
  <conditionalFormatting sqref="D51">
    <cfRule type="top10" dxfId="3" priority="4" rank="10"/>
  </conditionalFormatting>
  <conditionalFormatting sqref="D51">
    <cfRule type="top10" dxfId="2" priority="3" rank="10"/>
  </conditionalFormatting>
  <conditionalFormatting sqref="D61">
    <cfRule type="top10" dxfId="1" priority="2" rank="10"/>
  </conditionalFormatting>
  <conditionalFormatting sqref="D61">
    <cfRule type="top10" dxfId="0" priority="1" rank="10"/>
  </conditionalFormatting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DE4F-4F9C-4B51-AC87-C002B9FF1846}">
  <sheetPr codeName="Sheet3"/>
  <dimension ref="A1"/>
  <sheetViews>
    <sheetView tabSelected="1" topLeftCell="A2" zoomScale="60" zoomScaleNormal="60" workbookViewId="0">
      <selection activeCell="P17" sqref="P17"/>
    </sheetView>
  </sheetViews>
  <sheetFormatPr defaultRowHeight="14.4" x14ac:dyDescent="0.3"/>
  <cols>
    <col min="1" max="18" width="8.88671875" style="11"/>
    <col min="19" max="19" width="8.88671875" style="11" customWidth="1"/>
    <col min="20" max="34" width="8.88671875" style="11"/>
    <col min="35" max="35" width="23.44140625" style="11" customWidth="1"/>
    <col min="36" max="16384" width="8.88671875" style="1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C362-3954-449C-82AA-58AEE0F7905B}">
  <sheetPr codeName="Sheet1"/>
  <dimension ref="A1:AB351"/>
  <sheetViews>
    <sheetView workbookViewId="0">
      <selection activeCell="C7" sqref="C7"/>
    </sheetView>
  </sheetViews>
  <sheetFormatPr defaultRowHeight="14.4" x14ac:dyDescent="0.3"/>
  <cols>
    <col min="1" max="1" width="14.44140625" style="1" bestFit="1" customWidth="1"/>
    <col min="2" max="2" width="17.77734375" style="1" bestFit="1" customWidth="1"/>
    <col min="3" max="3" width="12.109375" style="2" bestFit="1" customWidth="1"/>
    <col min="4" max="4" width="11.33203125" style="2" bestFit="1" customWidth="1"/>
    <col min="5" max="5" width="20" style="1" bestFit="1" customWidth="1"/>
    <col min="6" max="6" width="9" style="1" bestFit="1" customWidth="1"/>
    <col min="7" max="7" width="21.88671875" style="1" bestFit="1" customWidth="1"/>
    <col min="8" max="8" width="9.33203125" style="1" bestFit="1" customWidth="1"/>
    <col min="9" max="9" width="11.88671875" bestFit="1" customWidth="1"/>
    <col min="10" max="10" width="13.21875" bestFit="1" customWidth="1"/>
    <col min="11" max="11" width="7.88671875" bestFit="1" customWidth="1"/>
    <col min="12" max="12" width="13.44140625" bestFit="1" customWidth="1"/>
    <col min="13" max="13" width="20.5546875" bestFit="1" customWidth="1"/>
    <col min="14" max="14" width="13.88671875" style="1" bestFit="1" customWidth="1"/>
    <col min="15" max="15" width="28.21875" bestFit="1" customWidth="1"/>
    <col min="16" max="16" width="20.109375" style="3" bestFit="1" customWidth="1"/>
    <col min="17" max="17" width="18.88671875" style="8" bestFit="1" customWidth="1"/>
    <col min="18" max="18" width="12" style="10" bestFit="1" customWidth="1"/>
    <col min="19" max="19" width="20.109375" style="3" bestFit="1" customWidth="1"/>
    <col min="20" max="20" width="10" style="3" bestFit="1" customWidth="1"/>
    <col min="21" max="21" width="15" style="2" bestFit="1" customWidth="1"/>
    <col min="22" max="22" width="19.44140625" style="10" bestFit="1" customWidth="1"/>
    <col min="23" max="23" width="19.6640625" bestFit="1" customWidth="1"/>
    <col min="24" max="24" width="18" style="3" bestFit="1" customWidth="1"/>
    <col min="25" max="25" width="23.77734375" style="3" bestFit="1" customWidth="1"/>
    <col min="26" max="27" width="23.33203125" style="7" bestFit="1" customWidth="1"/>
    <col min="28" max="28" width="20.6640625" style="3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8" t="s">
        <v>392</v>
      </c>
      <c r="Q1" s="10" t="s">
        <v>393</v>
      </c>
      <c r="R1" t="s">
        <v>394</v>
      </c>
      <c r="S1" s="3" t="s">
        <v>395</v>
      </c>
      <c r="T1" s="3" t="s">
        <v>16</v>
      </c>
      <c r="U1" t="s">
        <v>396</v>
      </c>
      <c r="V1" s="14" t="s">
        <v>15</v>
      </c>
      <c r="W1" t="s">
        <v>397</v>
      </c>
      <c r="X1" s="3" t="s">
        <v>398</v>
      </c>
      <c r="Y1" s="7" t="s">
        <v>403</v>
      </c>
      <c r="Z1" t="s">
        <v>409</v>
      </c>
      <c r="AA1"/>
      <c r="AB1"/>
    </row>
    <row r="2" spans="1:28" x14ac:dyDescent="0.3">
      <c r="A2" s="1" t="s">
        <v>17</v>
      </c>
      <c r="B2" s="1" t="s">
        <v>367</v>
      </c>
      <c r="C2" s="2">
        <v>45441</v>
      </c>
      <c r="D2" s="2">
        <v>45432</v>
      </c>
      <c r="E2" s="1" t="s">
        <v>372</v>
      </c>
      <c r="F2" s="1" t="s">
        <v>378</v>
      </c>
      <c r="G2" s="1" t="s">
        <v>382</v>
      </c>
      <c r="H2" s="1" t="s">
        <v>386</v>
      </c>
      <c r="I2">
        <v>42872.99</v>
      </c>
      <c r="J2">
        <v>1947040</v>
      </c>
      <c r="K2">
        <v>30492</v>
      </c>
      <c r="L2">
        <v>1710</v>
      </c>
      <c r="M2">
        <v>236555.75</v>
      </c>
      <c r="N2" s="1" t="s">
        <v>389</v>
      </c>
      <c r="O2">
        <v>8</v>
      </c>
      <c r="P2" s="8">
        <v>1.5660695209138001E-2</v>
      </c>
      <c r="Q2" s="8">
        <v>5.6080283353010602E-2</v>
      </c>
      <c r="R2" s="1">
        <v>25.071923976608186</v>
      </c>
      <c r="S2" s="3">
        <v>5.5175939443458457</v>
      </c>
      <c r="T2" s="1">
        <v>193682.76</v>
      </c>
      <c r="U2" s="2">
        <v>45471</v>
      </c>
      <c r="V2" s="10">
        <v>57.24</v>
      </c>
      <c r="W2">
        <v>30</v>
      </c>
      <c r="X2" s="3">
        <v>7.757961104552014</v>
      </c>
      <c r="Y2" s="7">
        <v>3.9885251763406286E-2</v>
      </c>
      <c r="Z2">
        <v>0.18123841842779101</v>
      </c>
      <c r="AA2"/>
      <c r="AB2"/>
    </row>
    <row r="3" spans="1:28" x14ac:dyDescent="0.3">
      <c r="A3" s="1" t="s">
        <v>18</v>
      </c>
      <c r="B3" s="1" t="s">
        <v>368</v>
      </c>
      <c r="C3" s="2">
        <v>45349</v>
      </c>
      <c r="D3" s="2">
        <v>45570</v>
      </c>
      <c r="E3" s="1" t="s">
        <v>373</v>
      </c>
      <c r="F3" s="1" t="s">
        <v>379</v>
      </c>
      <c r="G3" s="1" t="s">
        <v>383</v>
      </c>
      <c r="H3" s="1" t="s">
        <v>386</v>
      </c>
      <c r="I3">
        <v>18905.53</v>
      </c>
      <c r="J3">
        <v>256487</v>
      </c>
      <c r="K3">
        <v>12240</v>
      </c>
      <c r="L3">
        <v>532</v>
      </c>
      <c r="M3">
        <v>74552.33</v>
      </c>
      <c r="N3" s="1" t="s">
        <v>390</v>
      </c>
      <c r="O3">
        <v>5</v>
      </c>
      <c r="P3" s="8">
        <v>4.7721716890134797E-2</v>
      </c>
      <c r="Q3" s="8">
        <v>4.3464052287581698E-2</v>
      </c>
      <c r="R3" s="1">
        <v>35.536710526315787</v>
      </c>
      <c r="S3" s="3">
        <v>3.9434139111677911</v>
      </c>
      <c r="T3" s="1">
        <v>55646.8</v>
      </c>
      <c r="U3" s="2">
        <v>45570</v>
      </c>
      <c r="V3" s="10">
        <v>64.09</v>
      </c>
      <c r="W3">
        <v>221</v>
      </c>
      <c r="X3" s="3">
        <v>6.0908766339869285</v>
      </c>
      <c r="Y3" s="7">
        <v>2.8139914617574858E-2</v>
      </c>
      <c r="Z3">
        <v>0.25358737949571802</v>
      </c>
      <c r="AA3"/>
      <c r="AB3"/>
    </row>
    <row r="4" spans="1:28" x14ac:dyDescent="0.3">
      <c r="A4" s="1" t="s">
        <v>19</v>
      </c>
      <c r="B4" s="1" t="s">
        <v>369</v>
      </c>
      <c r="C4" s="2">
        <v>45471</v>
      </c>
      <c r="D4" s="2">
        <v>45472</v>
      </c>
      <c r="E4" s="1" t="s">
        <v>373</v>
      </c>
      <c r="F4" s="1" t="s">
        <v>380</v>
      </c>
      <c r="G4" s="1" t="s">
        <v>382</v>
      </c>
      <c r="H4" s="1" t="s">
        <v>386</v>
      </c>
      <c r="I4">
        <v>39915.769999999997</v>
      </c>
      <c r="J4">
        <v>147852</v>
      </c>
      <c r="K4">
        <v>33698</v>
      </c>
      <c r="L4">
        <v>958</v>
      </c>
      <c r="M4">
        <v>124097.59</v>
      </c>
      <c r="N4" s="1" t="s">
        <v>391</v>
      </c>
      <c r="O4">
        <v>8</v>
      </c>
      <c r="P4" s="8">
        <v>0.22791710629548501</v>
      </c>
      <c r="Q4" s="8">
        <v>2.84289868834946E-2</v>
      </c>
      <c r="R4" s="1">
        <v>41.665730688935277</v>
      </c>
      <c r="S4" s="3">
        <v>3.1089864983188349</v>
      </c>
      <c r="T4" s="1">
        <v>84181.82</v>
      </c>
      <c r="U4" s="2">
        <v>45472</v>
      </c>
      <c r="V4" s="10">
        <v>27.27</v>
      </c>
      <c r="W4">
        <v>1</v>
      </c>
      <c r="X4" s="3">
        <v>3.682639622529527</v>
      </c>
      <c r="Y4" s="7">
        <v>2.4000539135284125E-2</v>
      </c>
      <c r="Z4">
        <v>0.32164822862393999</v>
      </c>
      <c r="AA4"/>
      <c r="AB4"/>
    </row>
    <row r="5" spans="1:28" x14ac:dyDescent="0.3">
      <c r="A5" s="1" t="s">
        <v>20</v>
      </c>
      <c r="B5" s="1" t="s">
        <v>368</v>
      </c>
      <c r="C5" s="2">
        <v>45461</v>
      </c>
      <c r="D5" s="2">
        <v>45504</v>
      </c>
      <c r="E5" s="1" t="s">
        <v>374</v>
      </c>
      <c r="F5" s="1" t="s">
        <v>379</v>
      </c>
      <c r="G5" s="1" t="s">
        <v>382</v>
      </c>
      <c r="H5" s="1" t="s">
        <v>386</v>
      </c>
      <c r="I5">
        <v>11476.37</v>
      </c>
      <c r="J5">
        <v>1590668</v>
      </c>
      <c r="K5">
        <v>27957</v>
      </c>
      <c r="L5">
        <v>1184</v>
      </c>
      <c r="M5">
        <v>162241.54</v>
      </c>
      <c r="N5" s="1" t="s">
        <v>391</v>
      </c>
      <c r="O5">
        <v>9</v>
      </c>
      <c r="P5" s="8">
        <v>1.7575634890498799E-2</v>
      </c>
      <c r="Q5" s="8">
        <v>4.2350752942018101E-2</v>
      </c>
      <c r="R5" s="1">
        <v>9.6928800675675681</v>
      </c>
      <c r="S5" s="3">
        <v>14.137008479161965</v>
      </c>
      <c r="T5" s="1">
        <v>150765.17000000001</v>
      </c>
      <c r="U5" s="2">
        <v>45504</v>
      </c>
      <c r="V5" s="10">
        <v>68.42</v>
      </c>
      <c r="W5">
        <v>43</v>
      </c>
      <c r="X5" s="3">
        <v>5.8032528525950573</v>
      </c>
      <c r="Y5" s="7">
        <v>0.10316851060047733</v>
      </c>
      <c r="Z5">
        <v>7.0736323138944596E-2</v>
      </c>
      <c r="AA5"/>
      <c r="AB5"/>
    </row>
    <row r="6" spans="1:28" x14ac:dyDescent="0.3">
      <c r="A6" s="1" t="s">
        <v>21</v>
      </c>
      <c r="B6" s="1" t="s">
        <v>368</v>
      </c>
      <c r="C6" s="2">
        <v>45562</v>
      </c>
      <c r="D6" s="2">
        <v>45416</v>
      </c>
      <c r="E6" s="1" t="s">
        <v>375</v>
      </c>
      <c r="F6" s="1" t="s">
        <v>379</v>
      </c>
      <c r="G6" s="1" t="s">
        <v>384</v>
      </c>
      <c r="H6" s="1" t="s">
        <v>386</v>
      </c>
      <c r="I6">
        <v>7452.13</v>
      </c>
      <c r="J6">
        <v>1237169</v>
      </c>
      <c r="K6">
        <v>33808</v>
      </c>
      <c r="L6">
        <v>915</v>
      </c>
      <c r="M6">
        <v>249871.9</v>
      </c>
      <c r="N6" s="1" t="s">
        <v>391</v>
      </c>
      <c r="O6">
        <v>7</v>
      </c>
      <c r="P6" s="8">
        <v>2.7326905216668099E-2</v>
      </c>
      <c r="Q6" s="8">
        <v>2.70646000946522E-2</v>
      </c>
      <c r="R6" s="1">
        <v>8.1444043715846988</v>
      </c>
      <c r="S6" s="3">
        <v>33.530265843456839</v>
      </c>
      <c r="T6" s="1">
        <v>242419.77</v>
      </c>
      <c r="U6" s="2">
        <v>45592</v>
      </c>
      <c r="V6" s="10">
        <v>13.99</v>
      </c>
      <c r="W6">
        <v>30</v>
      </c>
      <c r="X6" s="3">
        <v>7.3909104353999053</v>
      </c>
      <c r="Y6" s="7">
        <v>0.12278368734844937</v>
      </c>
      <c r="Z6">
        <v>2.9823801715999299E-2</v>
      </c>
      <c r="AA6"/>
      <c r="AB6"/>
    </row>
    <row r="7" spans="1:28" x14ac:dyDescent="0.3">
      <c r="A7" s="1" t="s">
        <v>22</v>
      </c>
      <c r="B7" s="1" t="s">
        <v>370</v>
      </c>
      <c r="C7" s="2">
        <v>45345</v>
      </c>
      <c r="D7" s="2">
        <v>45329</v>
      </c>
      <c r="E7" s="1" t="s">
        <v>376</v>
      </c>
      <c r="F7" s="1" t="s">
        <v>378</v>
      </c>
      <c r="G7" s="1" t="s">
        <v>383</v>
      </c>
      <c r="H7" s="1" t="s">
        <v>387</v>
      </c>
      <c r="I7">
        <v>17840.8</v>
      </c>
      <c r="J7">
        <v>777067</v>
      </c>
      <c r="K7">
        <v>6827</v>
      </c>
      <c r="L7">
        <v>188</v>
      </c>
      <c r="M7">
        <v>35153.94</v>
      </c>
      <c r="N7" s="1" t="s">
        <v>391</v>
      </c>
      <c r="O7">
        <v>5</v>
      </c>
      <c r="P7" s="8">
        <v>8.7856002120795199E-3</v>
      </c>
      <c r="Q7" s="8">
        <v>2.75377178848689E-2</v>
      </c>
      <c r="R7" s="1">
        <v>94.897872340425522</v>
      </c>
      <c r="S7" s="3">
        <v>1.9704239720191923</v>
      </c>
      <c r="T7" s="1">
        <v>17313.140000000003</v>
      </c>
      <c r="U7" s="2">
        <v>45375</v>
      </c>
      <c r="V7" s="10">
        <v>69.680000000000007</v>
      </c>
      <c r="W7">
        <v>30</v>
      </c>
      <c r="X7" s="3">
        <v>5.1492515013915341</v>
      </c>
      <c r="Y7" s="7">
        <v>1.0537644051836241E-2</v>
      </c>
      <c r="Z7">
        <v>0.50750499090571399</v>
      </c>
      <c r="AA7"/>
      <c r="AB7"/>
    </row>
    <row r="8" spans="1:28" x14ac:dyDescent="0.3">
      <c r="A8" s="1" t="s">
        <v>23</v>
      </c>
      <c r="B8" s="1" t="s">
        <v>369</v>
      </c>
      <c r="C8" s="2">
        <v>45392</v>
      </c>
      <c r="D8" s="2">
        <v>45505</v>
      </c>
      <c r="E8" s="1" t="s">
        <v>373</v>
      </c>
      <c r="F8" s="1" t="s">
        <v>381</v>
      </c>
      <c r="G8" s="1" t="s">
        <v>383</v>
      </c>
      <c r="H8" s="1" t="s">
        <v>388</v>
      </c>
      <c r="I8">
        <v>96495.94</v>
      </c>
      <c r="J8">
        <v>728841</v>
      </c>
      <c r="K8">
        <v>33762</v>
      </c>
      <c r="L8">
        <v>1045</v>
      </c>
      <c r="M8">
        <v>129656.99</v>
      </c>
      <c r="N8" s="1" t="s">
        <v>390</v>
      </c>
      <c r="O8">
        <v>9</v>
      </c>
      <c r="P8" s="8">
        <v>4.6322860541599599E-2</v>
      </c>
      <c r="Q8" s="8">
        <v>3.0951957822403901E-2</v>
      </c>
      <c r="R8" s="1">
        <v>92.340612440191393</v>
      </c>
      <c r="S8" s="3">
        <v>1.3436522821581924</v>
      </c>
      <c r="T8" s="1">
        <v>33161.050000000003</v>
      </c>
      <c r="U8" s="2">
        <v>45505</v>
      </c>
      <c r="V8" s="10">
        <v>24.31</v>
      </c>
      <c r="W8">
        <v>113</v>
      </c>
      <c r="X8" s="3">
        <v>3.8403231443634858</v>
      </c>
      <c r="Y8" s="7">
        <v>1.0829471167387975E-2</v>
      </c>
      <c r="Z8">
        <v>0.74424016784594504</v>
      </c>
      <c r="AA8"/>
      <c r="AB8"/>
    </row>
    <row r="9" spans="1:28" x14ac:dyDescent="0.3">
      <c r="A9" s="1" t="s">
        <v>24</v>
      </c>
      <c r="B9" s="1" t="s">
        <v>369</v>
      </c>
      <c r="C9" s="2">
        <v>45555</v>
      </c>
      <c r="D9" s="2">
        <v>45602</v>
      </c>
      <c r="E9" s="1" t="s">
        <v>377</v>
      </c>
      <c r="F9" s="1" t="s">
        <v>379</v>
      </c>
      <c r="G9" s="1" t="s">
        <v>385</v>
      </c>
      <c r="H9" s="1" t="s">
        <v>388</v>
      </c>
      <c r="I9">
        <v>57205.31</v>
      </c>
      <c r="J9">
        <v>330618</v>
      </c>
      <c r="K9">
        <v>9259</v>
      </c>
      <c r="L9">
        <v>484</v>
      </c>
      <c r="M9">
        <v>102428.83</v>
      </c>
      <c r="N9" s="1" t="s">
        <v>389</v>
      </c>
      <c r="O9">
        <v>9</v>
      </c>
      <c r="P9" s="8">
        <v>2.80051297872469E-2</v>
      </c>
      <c r="Q9" s="8">
        <v>5.2273463656982398E-2</v>
      </c>
      <c r="R9" s="1">
        <v>118.19278925619834</v>
      </c>
      <c r="S9" s="3">
        <v>1.7905475907743531</v>
      </c>
      <c r="T9" s="1">
        <v>45223.520000000004</v>
      </c>
      <c r="U9" s="2">
        <v>45602</v>
      </c>
      <c r="V9" s="10">
        <v>53.68</v>
      </c>
      <c r="W9">
        <v>47</v>
      </c>
      <c r="X9" s="3">
        <v>11.062623393455016</v>
      </c>
      <c r="Y9" s="7">
        <v>8.4607530314930561E-3</v>
      </c>
      <c r="Z9">
        <v>0.55848836699589399</v>
      </c>
      <c r="AA9"/>
      <c r="AB9"/>
    </row>
    <row r="10" spans="1:28" x14ac:dyDescent="0.3">
      <c r="A10" s="1" t="s">
        <v>25</v>
      </c>
      <c r="B10" s="1" t="s">
        <v>369</v>
      </c>
      <c r="C10" s="2">
        <v>45344</v>
      </c>
      <c r="D10" s="2">
        <v>45516</v>
      </c>
      <c r="E10" s="1" t="s">
        <v>377</v>
      </c>
      <c r="F10" s="1" t="s">
        <v>381</v>
      </c>
      <c r="G10" s="1" t="s">
        <v>383</v>
      </c>
      <c r="H10" s="1" t="s">
        <v>388</v>
      </c>
      <c r="I10">
        <v>96753.11</v>
      </c>
      <c r="J10">
        <v>1276408</v>
      </c>
      <c r="K10">
        <v>15849</v>
      </c>
      <c r="L10">
        <v>558</v>
      </c>
      <c r="M10">
        <v>217796.84</v>
      </c>
      <c r="N10" s="1" t="s">
        <v>391</v>
      </c>
      <c r="O10">
        <v>9</v>
      </c>
      <c r="P10" s="8">
        <v>1.2416876108579699E-2</v>
      </c>
      <c r="Q10" s="8">
        <v>3.5207268597387799E-2</v>
      </c>
      <c r="R10" s="1">
        <v>173.39267025089606</v>
      </c>
      <c r="S10" s="3">
        <v>2.2510577696158811</v>
      </c>
      <c r="T10" s="1">
        <v>121043.73</v>
      </c>
      <c r="U10" s="2">
        <v>45516</v>
      </c>
      <c r="V10" s="10">
        <v>34.840000000000003</v>
      </c>
      <c r="W10">
        <v>172</v>
      </c>
      <c r="X10" s="3">
        <v>13.741992554735313</v>
      </c>
      <c r="Y10" s="7">
        <v>5.7672564737195524E-3</v>
      </c>
      <c r="Z10">
        <v>0.444235600479787</v>
      </c>
      <c r="AA10"/>
      <c r="AB10"/>
    </row>
    <row r="11" spans="1:28" x14ac:dyDescent="0.3">
      <c r="A11" s="1" t="s">
        <v>26</v>
      </c>
      <c r="B11" s="1" t="s">
        <v>368</v>
      </c>
      <c r="C11" s="2">
        <v>45351</v>
      </c>
      <c r="D11" s="2">
        <v>45516</v>
      </c>
      <c r="E11" s="1" t="s">
        <v>373</v>
      </c>
      <c r="F11" s="1" t="s">
        <v>380</v>
      </c>
      <c r="G11" s="1" t="s">
        <v>383</v>
      </c>
      <c r="H11" s="1" t="s">
        <v>388</v>
      </c>
      <c r="I11">
        <v>46087.3</v>
      </c>
      <c r="J11">
        <v>892150</v>
      </c>
      <c r="K11">
        <v>17232</v>
      </c>
      <c r="L11">
        <v>322</v>
      </c>
      <c r="M11">
        <v>124232.26</v>
      </c>
      <c r="N11" s="1" t="s">
        <v>391</v>
      </c>
      <c r="O11">
        <v>4</v>
      </c>
      <c r="P11" s="8">
        <v>1.93151375889705E-2</v>
      </c>
      <c r="Q11" s="8">
        <v>1.8686165273909001E-2</v>
      </c>
      <c r="R11" s="1">
        <v>143.12826086956522</v>
      </c>
      <c r="S11" s="3">
        <v>2.6955855517680574</v>
      </c>
      <c r="T11" s="1">
        <v>78144.959999999992</v>
      </c>
      <c r="U11" s="2">
        <v>45516</v>
      </c>
      <c r="V11" s="10">
        <v>36.119999999999997</v>
      </c>
      <c r="W11">
        <v>165</v>
      </c>
      <c r="X11" s="3">
        <v>7.2093929897864433</v>
      </c>
      <c r="Y11" s="7">
        <v>6.9867403818405496E-3</v>
      </c>
      <c r="Z11">
        <v>0.37097691050617598</v>
      </c>
      <c r="AA11"/>
      <c r="AB11"/>
    </row>
    <row r="12" spans="1:28" x14ac:dyDescent="0.3">
      <c r="A12" s="1" t="s">
        <v>27</v>
      </c>
      <c r="B12" s="1" t="s">
        <v>367</v>
      </c>
      <c r="C12" s="2">
        <v>45399</v>
      </c>
      <c r="D12" s="2">
        <v>45476</v>
      </c>
      <c r="E12" s="1" t="s">
        <v>375</v>
      </c>
      <c r="F12" s="1" t="s">
        <v>379</v>
      </c>
      <c r="G12" s="1" t="s">
        <v>385</v>
      </c>
      <c r="H12" s="1" t="s">
        <v>388</v>
      </c>
      <c r="I12">
        <v>34622.53</v>
      </c>
      <c r="J12">
        <v>1405349</v>
      </c>
      <c r="K12">
        <v>41572</v>
      </c>
      <c r="L12">
        <v>1172</v>
      </c>
      <c r="M12">
        <v>36634.61</v>
      </c>
      <c r="N12" s="1" t="s">
        <v>390</v>
      </c>
      <c r="O12">
        <v>9</v>
      </c>
      <c r="P12" s="8">
        <v>2.9581264155736399E-2</v>
      </c>
      <c r="Q12" s="8">
        <v>2.8192052342923098E-2</v>
      </c>
      <c r="R12" s="1">
        <v>29.541407849829351</v>
      </c>
      <c r="S12" s="3">
        <v>1.0581147593777809</v>
      </c>
      <c r="T12" s="1">
        <v>2012.0800000000017</v>
      </c>
      <c r="U12" s="2">
        <v>45476</v>
      </c>
      <c r="V12" s="10">
        <v>26.06</v>
      </c>
      <c r="W12">
        <v>77</v>
      </c>
      <c r="X12" s="3">
        <v>0.88123280092369871</v>
      </c>
      <c r="Y12" s="7">
        <v>3.3850790222436082E-2</v>
      </c>
      <c r="Z12">
        <v>0.94507707329216795</v>
      </c>
      <c r="AA12"/>
      <c r="AB12"/>
    </row>
    <row r="13" spans="1:28" x14ac:dyDescent="0.3">
      <c r="A13" s="1" t="s">
        <v>28</v>
      </c>
      <c r="B13" s="1" t="s">
        <v>369</v>
      </c>
      <c r="C13" s="2">
        <v>45296</v>
      </c>
      <c r="D13" s="2">
        <v>45414</v>
      </c>
      <c r="E13" s="1" t="s">
        <v>375</v>
      </c>
      <c r="F13" s="1" t="s">
        <v>378</v>
      </c>
      <c r="G13" s="1" t="s">
        <v>383</v>
      </c>
      <c r="H13" s="1" t="s">
        <v>388</v>
      </c>
      <c r="I13">
        <v>53083.48</v>
      </c>
      <c r="J13">
        <v>95232</v>
      </c>
      <c r="K13">
        <v>25173</v>
      </c>
      <c r="L13">
        <v>1837</v>
      </c>
      <c r="M13">
        <v>162261.79</v>
      </c>
      <c r="N13" s="1" t="s">
        <v>390</v>
      </c>
      <c r="O13">
        <v>4</v>
      </c>
      <c r="P13" s="8">
        <v>0.26433341733871002</v>
      </c>
      <c r="Q13" s="8">
        <v>7.2975012910658194E-2</v>
      </c>
      <c r="R13" s="1">
        <v>28.896831790963528</v>
      </c>
      <c r="S13" s="3">
        <v>3.0567285716761599</v>
      </c>
      <c r="T13" s="1">
        <v>109178.31</v>
      </c>
      <c r="U13" s="2">
        <v>45414</v>
      </c>
      <c r="V13" s="10">
        <v>12.8</v>
      </c>
      <c r="W13">
        <v>118</v>
      </c>
      <c r="X13" s="3">
        <v>6.4458662058554808</v>
      </c>
      <c r="Y13" s="7">
        <v>3.4605869848774042E-2</v>
      </c>
      <c r="Z13">
        <v>0.32714713673502599</v>
      </c>
      <c r="AA13"/>
      <c r="AB13"/>
    </row>
    <row r="14" spans="1:28" x14ac:dyDescent="0.3">
      <c r="A14" s="1" t="s">
        <v>29</v>
      </c>
      <c r="B14" s="1" t="s">
        <v>368</v>
      </c>
      <c r="C14" s="2">
        <v>45394</v>
      </c>
      <c r="D14" s="2">
        <v>45481</v>
      </c>
      <c r="E14" s="1" t="s">
        <v>372</v>
      </c>
      <c r="F14" s="1" t="s">
        <v>380</v>
      </c>
      <c r="G14" s="1" t="s">
        <v>383</v>
      </c>
      <c r="H14" s="1" t="s">
        <v>388</v>
      </c>
      <c r="I14">
        <v>46753.61</v>
      </c>
      <c r="J14">
        <v>398688</v>
      </c>
      <c r="K14">
        <v>6374</v>
      </c>
      <c r="L14">
        <v>1923</v>
      </c>
      <c r="M14">
        <v>194987.35</v>
      </c>
      <c r="N14" s="1" t="s">
        <v>391</v>
      </c>
      <c r="O14">
        <v>9</v>
      </c>
      <c r="P14" s="8">
        <v>1.5987438799261601E-2</v>
      </c>
      <c r="Q14" s="8">
        <v>0.301694383432695</v>
      </c>
      <c r="R14" s="1">
        <v>24.312849713988559</v>
      </c>
      <c r="S14" s="3">
        <v>4.1705303611849436</v>
      </c>
      <c r="T14" s="1">
        <v>148233.74</v>
      </c>
      <c r="U14" s="2">
        <v>45481</v>
      </c>
      <c r="V14" s="10">
        <v>44.11</v>
      </c>
      <c r="W14">
        <v>87</v>
      </c>
      <c r="X14" s="3">
        <v>30.591049576404142</v>
      </c>
      <c r="Y14" s="7">
        <v>4.1130513772091606E-2</v>
      </c>
      <c r="Z14">
        <v>0.23977765737110601</v>
      </c>
      <c r="AA14"/>
      <c r="AB14"/>
    </row>
    <row r="15" spans="1:28" x14ac:dyDescent="0.3">
      <c r="A15" s="1" t="s">
        <v>30</v>
      </c>
      <c r="B15" s="1" t="s">
        <v>370</v>
      </c>
      <c r="C15" s="2">
        <v>45487</v>
      </c>
      <c r="D15" s="2">
        <v>45382</v>
      </c>
      <c r="E15" s="1" t="s">
        <v>377</v>
      </c>
      <c r="F15" s="1" t="s">
        <v>380</v>
      </c>
      <c r="G15" s="1" t="s">
        <v>383</v>
      </c>
      <c r="H15" s="1" t="s">
        <v>388</v>
      </c>
      <c r="I15">
        <v>15038.15</v>
      </c>
      <c r="J15">
        <v>510385</v>
      </c>
      <c r="K15">
        <v>22174</v>
      </c>
      <c r="L15">
        <v>153</v>
      </c>
      <c r="M15">
        <v>10691.5</v>
      </c>
      <c r="N15" s="1" t="s">
        <v>389</v>
      </c>
      <c r="O15">
        <v>6</v>
      </c>
      <c r="P15" s="8">
        <v>4.3445634178120397E-2</v>
      </c>
      <c r="Q15" s="8">
        <v>6.8999729412825804E-3</v>
      </c>
      <c r="R15" s="1">
        <v>98.288562091503266</v>
      </c>
      <c r="S15" s="3">
        <v>0.71095846231085602</v>
      </c>
      <c r="T15" s="1">
        <v>-4346.6499999999996</v>
      </c>
      <c r="U15" s="2">
        <v>45517</v>
      </c>
      <c r="V15" s="10">
        <v>17.309999999999999</v>
      </c>
      <c r="W15">
        <v>30</v>
      </c>
      <c r="X15" s="3">
        <v>0.48216379543609633</v>
      </c>
      <c r="Y15" s="7">
        <v>1.0174123811772059E-2</v>
      </c>
      <c r="Z15">
        <v>1.4065519337791701</v>
      </c>
      <c r="AA15"/>
      <c r="AB15"/>
    </row>
    <row r="16" spans="1:28" x14ac:dyDescent="0.3">
      <c r="A16" s="1" t="s">
        <v>31</v>
      </c>
      <c r="B16" s="1" t="s">
        <v>367</v>
      </c>
      <c r="C16" s="2">
        <v>45553</v>
      </c>
      <c r="D16" s="2">
        <v>45443</v>
      </c>
      <c r="E16" s="1" t="s">
        <v>372</v>
      </c>
      <c r="F16" s="1" t="s">
        <v>378</v>
      </c>
      <c r="G16" s="1" t="s">
        <v>383</v>
      </c>
      <c r="H16" s="1" t="s">
        <v>387</v>
      </c>
      <c r="I16">
        <v>65878.5</v>
      </c>
      <c r="J16">
        <v>833301</v>
      </c>
      <c r="K16">
        <v>24567</v>
      </c>
      <c r="L16">
        <v>1287</v>
      </c>
      <c r="M16">
        <v>216149.6</v>
      </c>
      <c r="N16" s="1" t="s">
        <v>389</v>
      </c>
      <c r="O16">
        <v>5</v>
      </c>
      <c r="P16" s="8">
        <v>2.94815438839027E-2</v>
      </c>
      <c r="Q16" s="8">
        <v>5.2387348882647497E-2</v>
      </c>
      <c r="R16" s="1">
        <v>51.187645687645684</v>
      </c>
      <c r="S16" s="3">
        <v>3.2810340247576981</v>
      </c>
      <c r="T16" s="1">
        <v>150271.1</v>
      </c>
      <c r="U16" s="2">
        <v>45583</v>
      </c>
      <c r="V16" s="10">
        <v>56.75</v>
      </c>
      <c r="W16">
        <v>30</v>
      </c>
      <c r="X16" s="3">
        <v>8.7983717995685264</v>
      </c>
      <c r="Y16" s="7">
        <v>1.9535963933605047E-2</v>
      </c>
      <c r="Z16">
        <v>0.30478196582367001</v>
      </c>
      <c r="AA16"/>
      <c r="AB16"/>
    </row>
    <row r="17" spans="1:28" x14ac:dyDescent="0.3">
      <c r="A17" s="1" t="s">
        <v>32</v>
      </c>
      <c r="B17" s="1" t="s">
        <v>370</v>
      </c>
      <c r="C17" s="2">
        <v>45338</v>
      </c>
      <c r="D17" s="2">
        <v>45372</v>
      </c>
      <c r="E17" s="1" t="s">
        <v>377</v>
      </c>
      <c r="F17" s="1" t="s">
        <v>379</v>
      </c>
      <c r="G17" s="1" t="s">
        <v>385</v>
      </c>
      <c r="H17" s="1" t="s">
        <v>388</v>
      </c>
      <c r="I17">
        <v>25523.63</v>
      </c>
      <c r="J17">
        <v>362813</v>
      </c>
      <c r="K17">
        <v>36292</v>
      </c>
      <c r="L17">
        <v>1834</v>
      </c>
      <c r="M17">
        <v>54645.52</v>
      </c>
      <c r="N17" s="1" t="s">
        <v>391</v>
      </c>
      <c r="O17">
        <v>6</v>
      </c>
      <c r="P17" s="8">
        <v>0.100029491776756</v>
      </c>
      <c r="Q17" s="8">
        <v>5.0534553069547003E-2</v>
      </c>
      <c r="R17" s="1">
        <v>13.916919302071975</v>
      </c>
      <c r="S17" s="3">
        <v>2.1409775960551065</v>
      </c>
      <c r="T17" s="1">
        <v>29121.889999999996</v>
      </c>
      <c r="U17" s="2">
        <v>45372</v>
      </c>
      <c r="V17" s="10">
        <v>34.590000000000003</v>
      </c>
      <c r="W17">
        <v>34</v>
      </c>
      <c r="X17" s="3">
        <v>1.5057180645872368</v>
      </c>
      <c r="Y17" s="7">
        <v>7.1854983009861845E-2</v>
      </c>
      <c r="Z17">
        <v>0.46707634953423399</v>
      </c>
      <c r="AA17"/>
      <c r="AB17"/>
    </row>
    <row r="18" spans="1:28" x14ac:dyDescent="0.3">
      <c r="A18" s="1" t="s">
        <v>33</v>
      </c>
      <c r="B18" s="1" t="s">
        <v>367</v>
      </c>
      <c r="C18" s="2">
        <v>45435</v>
      </c>
      <c r="D18" s="2">
        <v>45598</v>
      </c>
      <c r="E18" s="1" t="s">
        <v>376</v>
      </c>
      <c r="F18" s="1" t="s">
        <v>379</v>
      </c>
      <c r="G18" s="1" t="s">
        <v>383</v>
      </c>
      <c r="H18" s="1" t="s">
        <v>387</v>
      </c>
      <c r="I18">
        <v>63860.86</v>
      </c>
      <c r="J18">
        <v>1307669</v>
      </c>
      <c r="K18">
        <v>10277</v>
      </c>
      <c r="L18">
        <v>1737</v>
      </c>
      <c r="M18">
        <v>142496.65</v>
      </c>
      <c r="N18" s="1" t="s">
        <v>390</v>
      </c>
      <c r="O18">
        <v>9</v>
      </c>
      <c r="P18" s="8">
        <v>7.8590224284585796E-3</v>
      </c>
      <c r="Q18" s="8">
        <v>0.16901819597158699</v>
      </c>
      <c r="R18" s="1">
        <v>36.765031663788143</v>
      </c>
      <c r="S18" s="3">
        <v>2.2313612751221954</v>
      </c>
      <c r="T18" s="1">
        <v>78635.789999999994</v>
      </c>
      <c r="U18" s="2">
        <v>45598</v>
      </c>
      <c r="V18" s="10">
        <v>50.65</v>
      </c>
      <c r="W18">
        <v>163</v>
      </c>
      <c r="X18" s="3">
        <v>13.865588206675099</v>
      </c>
      <c r="Y18" s="7">
        <v>2.7199758975998758E-2</v>
      </c>
      <c r="Z18">
        <v>0.44815692158377102</v>
      </c>
      <c r="AA18"/>
      <c r="AB18"/>
    </row>
    <row r="19" spans="1:28" x14ac:dyDescent="0.3">
      <c r="A19" s="1" t="s">
        <v>34</v>
      </c>
      <c r="B19" s="1" t="s">
        <v>368</v>
      </c>
      <c r="C19" s="2">
        <v>45560</v>
      </c>
      <c r="D19" s="2">
        <v>45326</v>
      </c>
      <c r="E19" s="1" t="s">
        <v>376</v>
      </c>
      <c r="F19" s="1" t="s">
        <v>380</v>
      </c>
      <c r="G19" s="1" t="s">
        <v>383</v>
      </c>
      <c r="H19" s="1" t="s">
        <v>386</v>
      </c>
      <c r="I19">
        <v>66769.100000000006</v>
      </c>
      <c r="J19">
        <v>1076657</v>
      </c>
      <c r="K19">
        <v>32600</v>
      </c>
      <c r="L19">
        <v>811</v>
      </c>
      <c r="M19">
        <v>109791.4</v>
      </c>
      <c r="N19" s="1" t="s">
        <v>391</v>
      </c>
      <c r="O19">
        <v>5</v>
      </c>
      <c r="P19" s="8">
        <v>3.0278909624885199E-2</v>
      </c>
      <c r="Q19" s="8">
        <v>2.4877300613496901E-2</v>
      </c>
      <c r="R19" s="1">
        <v>82.329346485819983</v>
      </c>
      <c r="S19" s="3">
        <v>1.6443444647299421</v>
      </c>
      <c r="T19" s="1">
        <v>43022.299999999988</v>
      </c>
      <c r="U19" s="2">
        <v>45590</v>
      </c>
      <c r="V19" s="10">
        <v>76.599999999999994</v>
      </c>
      <c r="W19">
        <v>30</v>
      </c>
      <c r="X19" s="3">
        <v>3.3678343558282209</v>
      </c>
      <c r="Y19" s="7">
        <v>1.2146337152964469E-2</v>
      </c>
      <c r="Z19">
        <v>0.60814508240171805</v>
      </c>
      <c r="AA19"/>
      <c r="AB19"/>
    </row>
    <row r="20" spans="1:28" x14ac:dyDescent="0.3">
      <c r="A20" s="1" t="s">
        <v>35</v>
      </c>
      <c r="B20" s="1" t="s">
        <v>371</v>
      </c>
      <c r="C20" s="2">
        <v>45415</v>
      </c>
      <c r="D20" s="2">
        <v>45413</v>
      </c>
      <c r="E20" s="1" t="s">
        <v>374</v>
      </c>
      <c r="F20" s="1" t="s">
        <v>379</v>
      </c>
      <c r="G20" s="1" t="s">
        <v>385</v>
      </c>
      <c r="H20" s="1" t="s">
        <v>388</v>
      </c>
      <c r="I20">
        <v>19442.36</v>
      </c>
      <c r="J20">
        <v>1429904</v>
      </c>
      <c r="K20">
        <v>10885</v>
      </c>
      <c r="L20">
        <v>836</v>
      </c>
      <c r="M20">
        <v>182716.92</v>
      </c>
      <c r="N20" s="1" t="s">
        <v>391</v>
      </c>
      <c r="O20">
        <v>5</v>
      </c>
      <c r="P20" s="8">
        <v>7.6123991540690801E-3</v>
      </c>
      <c r="Q20" s="8">
        <v>7.6802939825447905E-2</v>
      </c>
      <c r="R20" s="1">
        <v>23.25641148325359</v>
      </c>
      <c r="S20" s="3">
        <v>9.3978776239098547</v>
      </c>
      <c r="T20" s="1">
        <v>163274.56</v>
      </c>
      <c r="U20" s="2">
        <v>45445</v>
      </c>
      <c r="V20" s="10">
        <v>38.17</v>
      </c>
      <c r="W20">
        <v>30</v>
      </c>
      <c r="X20" s="3">
        <v>16.786120349104273</v>
      </c>
      <c r="Y20" s="7">
        <v>4.2998895195850706E-2</v>
      </c>
      <c r="Z20">
        <v>0.106407003795817</v>
      </c>
      <c r="AA20"/>
      <c r="AB20"/>
    </row>
    <row r="21" spans="1:28" x14ac:dyDescent="0.3">
      <c r="A21" s="1" t="s">
        <v>36</v>
      </c>
      <c r="B21" s="1" t="s">
        <v>367</v>
      </c>
      <c r="C21" s="2">
        <v>45397</v>
      </c>
      <c r="D21" s="2">
        <v>45491</v>
      </c>
      <c r="E21" s="1" t="s">
        <v>372</v>
      </c>
      <c r="F21" s="1" t="s">
        <v>381</v>
      </c>
      <c r="G21" s="1" t="s">
        <v>384</v>
      </c>
      <c r="H21" s="1" t="s">
        <v>386</v>
      </c>
      <c r="I21">
        <v>10828.21</v>
      </c>
      <c r="J21">
        <v>1801881</v>
      </c>
      <c r="K21">
        <v>1778</v>
      </c>
      <c r="L21">
        <v>214</v>
      </c>
      <c r="M21">
        <v>99078.79</v>
      </c>
      <c r="N21" s="1" t="s">
        <v>390</v>
      </c>
      <c r="O21">
        <v>7</v>
      </c>
      <c r="P21" s="8">
        <v>9.86746627551986E-4</v>
      </c>
      <c r="Q21" s="8">
        <v>0.12035995500562401</v>
      </c>
      <c r="R21" s="1">
        <v>50.599112149532708</v>
      </c>
      <c r="S21" s="3">
        <v>9.1500617368891071</v>
      </c>
      <c r="T21" s="1">
        <v>88250.579999999987</v>
      </c>
      <c r="U21" s="2">
        <v>45491</v>
      </c>
      <c r="V21" s="10">
        <v>37.11</v>
      </c>
      <c r="W21">
        <v>94</v>
      </c>
      <c r="X21" s="3">
        <v>55.724853768278962</v>
      </c>
      <c r="Y21" s="7">
        <v>1.9763192623711585E-2</v>
      </c>
      <c r="Z21">
        <v>0.10928888009229799</v>
      </c>
      <c r="AA21"/>
      <c r="AB21"/>
    </row>
    <row r="22" spans="1:28" x14ac:dyDescent="0.3">
      <c r="A22" s="1" t="s">
        <v>37</v>
      </c>
      <c r="B22" s="1" t="s">
        <v>370</v>
      </c>
      <c r="C22" s="2">
        <v>45449</v>
      </c>
      <c r="D22" s="2">
        <v>45343</v>
      </c>
      <c r="E22" s="1" t="s">
        <v>373</v>
      </c>
      <c r="F22" s="1" t="s">
        <v>378</v>
      </c>
      <c r="G22" s="1" t="s">
        <v>382</v>
      </c>
      <c r="H22" s="1" t="s">
        <v>386</v>
      </c>
      <c r="I22">
        <v>79172.350000000006</v>
      </c>
      <c r="J22">
        <v>1111716</v>
      </c>
      <c r="K22">
        <v>30165</v>
      </c>
      <c r="L22">
        <v>1048</v>
      </c>
      <c r="M22">
        <v>218743.16</v>
      </c>
      <c r="N22" s="1" t="s">
        <v>391</v>
      </c>
      <c r="O22">
        <v>6</v>
      </c>
      <c r="P22" s="8">
        <v>2.7133728398260001E-2</v>
      </c>
      <c r="Q22" s="8">
        <v>3.4742250953091303E-2</v>
      </c>
      <c r="R22" s="1">
        <v>75.546135496183211</v>
      </c>
      <c r="S22" s="3">
        <v>2.7628731495275813</v>
      </c>
      <c r="T22" s="1">
        <v>139570.81</v>
      </c>
      <c r="U22" s="2">
        <v>45479</v>
      </c>
      <c r="V22" s="10">
        <v>22.14</v>
      </c>
      <c r="W22">
        <v>30</v>
      </c>
      <c r="X22" s="3">
        <v>7.2515551135421852</v>
      </c>
      <c r="Y22" s="7">
        <v>1.3236944463565877E-2</v>
      </c>
      <c r="Z22">
        <v>0.361942060268307</v>
      </c>
      <c r="AA22"/>
      <c r="AB22"/>
    </row>
    <row r="23" spans="1:28" x14ac:dyDescent="0.3">
      <c r="A23" s="1" t="s">
        <v>38</v>
      </c>
      <c r="B23" s="1" t="s">
        <v>368</v>
      </c>
      <c r="C23" s="2">
        <v>45438</v>
      </c>
      <c r="D23" s="2">
        <v>45322</v>
      </c>
      <c r="E23" s="1" t="s">
        <v>372</v>
      </c>
      <c r="F23" s="1" t="s">
        <v>381</v>
      </c>
      <c r="G23" s="1" t="s">
        <v>384</v>
      </c>
      <c r="H23" s="1" t="s">
        <v>386</v>
      </c>
      <c r="I23">
        <v>48681.04</v>
      </c>
      <c r="J23">
        <v>1487188</v>
      </c>
      <c r="K23">
        <v>2492</v>
      </c>
      <c r="L23">
        <v>1926</v>
      </c>
      <c r="M23">
        <v>185319.13</v>
      </c>
      <c r="N23" s="1" t="s">
        <v>391</v>
      </c>
      <c r="O23">
        <v>7</v>
      </c>
      <c r="P23" s="8">
        <v>1.6756455807873699E-3</v>
      </c>
      <c r="Q23" s="8">
        <v>0.77287319422150902</v>
      </c>
      <c r="R23" s="1">
        <v>25.275721703011424</v>
      </c>
      <c r="S23" s="3">
        <v>3.8068030181770971</v>
      </c>
      <c r="T23" s="1">
        <v>136638.09</v>
      </c>
      <c r="U23" s="2">
        <v>45468</v>
      </c>
      <c r="V23" s="10">
        <v>78.12</v>
      </c>
      <c r="W23">
        <v>30</v>
      </c>
      <c r="X23" s="3">
        <v>74.365621990369178</v>
      </c>
      <c r="Y23" s="7">
        <v>3.9563657637552527E-2</v>
      </c>
      <c r="Z23">
        <v>0.26268761352376302</v>
      </c>
      <c r="AA23"/>
      <c r="AB23"/>
    </row>
    <row r="24" spans="1:28" x14ac:dyDescent="0.3">
      <c r="A24" s="1" t="s">
        <v>39</v>
      </c>
      <c r="B24" s="1" t="s">
        <v>367</v>
      </c>
      <c r="C24" s="2">
        <v>45436</v>
      </c>
      <c r="D24" s="2">
        <v>45454</v>
      </c>
      <c r="E24" s="1" t="s">
        <v>373</v>
      </c>
      <c r="F24" s="1" t="s">
        <v>379</v>
      </c>
      <c r="G24" s="1" t="s">
        <v>385</v>
      </c>
      <c r="H24" s="1" t="s">
        <v>387</v>
      </c>
      <c r="I24">
        <v>10525.56</v>
      </c>
      <c r="J24">
        <v>1706321</v>
      </c>
      <c r="K24">
        <v>31462</v>
      </c>
      <c r="L24">
        <v>569</v>
      </c>
      <c r="M24">
        <v>165451.16</v>
      </c>
      <c r="N24" s="1" t="s">
        <v>391</v>
      </c>
      <c r="O24">
        <v>5</v>
      </c>
      <c r="P24" s="8">
        <v>1.8438500141532602E-2</v>
      </c>
      <c r="Q24" s="8">
        <v>1.80853092619668E-2</v>
      </c>
      <c r="R24" s="1">
        <v>18.498347978910367</v>
      </c>
      <c r="S24" s="3">
        <v>15.71898882339752</v>
      </c>
      <c r="T24" s="1">
        <v>154925.6</v>
      </c>
      <c r="U24" s="2">
        <v>45454</v>
      </c>
      <c r="V24" s="10">
        <v>70.19</v>
      </c>
      <c r="W24">
        <v>18</v>
      </c>
      <c r="X24" s="3">
        <v>5.2587616807577398</v>
      </c>
      <c r="Y24" s="7">
        <v>5.4058881427686507E-2</v>
      </c>
      <c r="Z24">
        <v>6.3617323686337393E-2</v>
      </c>
      <c r="AA24"/>
      <c r="AB24"/>
    </row>
    <row r="25" spans="1:28" x14ac:dyDescent="0.3">
      <c r="A25" s="1" t="s">
        <v>40</v>
      </c>
      <c r="B25" s="1" t="s">
        <v>371</v>
      </c>
      <c r="C25" s="2">
        <v>45411</v>
      </c>
      <c r="D25" s="2">
        <v>45554</v>
      </c>
      <c r="E25" s="1" t="s">
        <v>375</v>
      </c>
      <c r="F25" s="1" t="s">
        <v>380</v>
      </c>
      <c r="G25" s="1" t="s">
        <v>382</v>
      </c>
      <c r="H25" s="1" t="s">
        <v>386</v>
      </c>
      <c r="I25">
        <v>99512.3</v>
      </c>
      <c r="J25">
        <v>588645</v>
      </c>
      <c r="K25">
        <v>14615</v>
      </c>
      <c r="L25">
        <v>1357</v>
      </c>
      <c r="M25">
        <v>201097.74</v>
      </c>
      <c r="N25" s="1" t="s">
        <v>390</v>
      </c>
      <c r="O25">
        <v>4</v>
      </c>
      <c r="P25" s="8">
        <v>2.4828207153717401E-2</v>
      </c>
      <c r="Q25" s="8">
        <v>9.2849811837153601E-2</v>
      </c>
      <c r="R25" s="1">
        <v>73.332571849668383</v>
      </c>
      <c r="S25" s="3">
        <v>2.0208330025534531</v>
      </c>
      <c r="T25" s="1">
        <v>101585.43999999999</v>
      </c>
      <c r="U25" s="2">
        <v>45554</v>
      </c>
      <c r="V25" s="10">
        <v>23.75</v>
      </c>
      <c r="W25">
        <v>143</v>
      </c>
      <c r="X25" s="3">
        <v>13.759681149503933</v>
      </c>
      <c r="Y25" s="7">
        <v>1.3636505236036147E-2</v>
      </c>
      <c r="Z25">
        <v>0.49484544182346402</v>
      </c>
      <c r="AA25"/>
      <c r="AB25"/>
    </row>
    <row r="26" spans="1:28" x14ac:dyDescent="0.3">
      <c r="A26" s="1" t="s">
        <v>41</v>
      </c>
      <c r="B26" s="1" t="s">
        <v>371</v>
      </c>
      <c r="C26" s="2">
        <v>45566</v>
      </c>
      <c r="D26" s="2">
        <v>45333</v>
      </c>
      <c r="E26" s="1" t="s">
        <v>372</v>
      </c>
      <c r="F26" s="1" t="s">
        <v>378</v>
      </c>
      <c r="G26" s="1" t="s">
        <v>385</v>
      </c>
      <c r="H26" s="1" t="s">
        <v>386</v>
      </c>
      <c r="I26">
        <v>10489.15</v>
      </c>
      <c r="J26">
        <v>1621951</v>
      </c>
      <c r="K26">
        <v>45900</v>
      </c>
      <c r="L26">
        <v>566</v>
      </c>
      <c r="M26">
        <v>190965.53</v>
      </c>
      <c r="N26" s="1" t="s">
        <v>389</v>
      </c>
      <c r="O26">
        <v>5</v>
      </c>
      <c r="P26" s="8">
        <v>2.82992519502747E-2</v>
      </c>
      <c r="Q26" s="8">
        <v>1.23311546840959E-2</v>
      </c>
      <c r="R26" s="1">
        <v>18.532067137809186</v>
      </c>
      <c r="S26" s="3">
        <v>18.206006206413296</v>
      </c>
      <c r="T26" s="1">
        <v>180476.38</v>
      </c>
      <c r="U26" s="2">
        <v>45596</v>
      </c>
      <c r="V26" s="10">
        <v>45.03</v>
      </c>
      <c r="W26">
        <v>30</v>
      </c>
      <c r="X26" s="3">
        <v>4.1604690631808277</v>
      </c>
      <c r="Y26" s="7">
        <v>5.3960521109908816E-2</v>
      </c>
      <c r="Z26">
        <v>5.4926928435723402E-2</v>
      </c>
      <c r="AA26"/>
      <c r="AB26"/>
    </row>
    <row r="27" spans="1:28" x14ac:dyDescent="0.3">
      <c r="A27" s="1" t="s">
        <v>42</v>
      </c>
      <c r="B27" s="1" t="s">
        <v>369</v>
      </c>
      <c r="C27" s="2">
        <v>45383</v>
      </c>
      <c r="D27" s="2">
        <v>45367</v>
      </c>
      <c r="E27" s="1" t="s">
        <v>375</v>
      </c>
      <c r="F27" s="1" t="s">
        <v>379</v>
      </c>
      <c r="G27" s="1" t="s">
        <v>385</v>
      </c>
      <c r="H27" s="1" t="s">
        <v>386</v>
      </c>
      <c r="I27">
        <v>71028.350000000006</v>
      </c>
      <c r="J27">
        <v>1210248</v>
      </c>
      <c r="K27">
        <v>43946</v>
      </c>
      <c r="L27">
        <v>706</v>
      </c>
      <c r="M27">
        <v>18625.28</v>
      </c>
      <c r="N27" s="1" t="s">
        <v>389</v>
      </c>
      <c r="O27">
        <v>7</v>
      </c>
      <c r="P27" s="8">
        <v>3.6311565893932501E-2</v>
      </c>
      <c r="Q27" s="8">
        <v>1.60651708915487E-2</v>
      </c>
      <c r="R27" s="1">
        <v>100.60672804532578</v>
      </c>
      <c r="S27" s="3">
        <v>0.26222318271507078</v>
      </c>
      <c r="T27" s="1">
        <v>-52403.070000000007</v>
      </c>
      <c r="U27" s="2">
        <v>45413</v>
      </c>
      <c r="V27" s="10">
        <v>49.96</v>
      </c>
      <c r="W27">
        <v>30</v>
      </c>
      <c r="X27" s="3">
        <v>0.42382196331861827</v>
      </c>
      <c r="Y27" s="7">
        <v>9.9396930943771028E-3</v>
      </c>
      <c r="Z27">
        <v>3.81354535341214</v>
      </c>
      <c r="AA27"/>
      <c r="AB27"/>
    </row>
    <row r="28" spans="1:28" x14ac:dyDescent="0.3">
      <c r="A28" s="1" t="s">
        <v>43</v>
      </c>
      <c r="B28" s="1" t="s">
        <v>369</v>
      </c>
      <c r="C28" s="2">
        <v>45349</v>
      </c>
      <c r="D28" s="2">
        <v>45355</v>
      </c>
      <c r="E28" s="1" t="s">
        <v>376</v>
      </c>
      <c r="F28" s="1" t="s">
        <v>379</v>
      </c>
      <c r="G28" s="1" t="s">
        <v>383</v>
      </c>
      <c r="H28" s="1" t="s">
        <v>388</v>
      </c>
      <c r="I28">
        <v>98449.5</v>
      </c>
      <c r="J28">
        <v>380817</v>
      </c>
      <c r="K28">
        <v>8851</v>
      </c>
      <c r="L28">
        <v>662</v>
      </c>
      <c r="M28">
        <v>104736.24</v>
      </c>
      <c r="N28" s="1" t="s">
        <v>390</v>
      </c>
      <c r="O28">
        <v>6</v>
      </c>
      <c r="P28" s="8">
        <v>2.32421346736096E-2</v>
      </c>
      <c r="Q28" s="8">
        <v>7.4793808609196696E-2</v>
      </c>
      <c r="R28" s="1">
        <v>148.71525679758309</v>
      </c>
      <c r="S28" s="3">
        <v>1.0638575107034571</v>
      </c>
      <c r="T28" s="1">
        <v>6286.7400000000052</v>
      </c>
      <c r="U28" s="2">
        <v>45355</v>
      </c>
      <c r="V28" s="10">
        <v>62.55</v>
      </c>
      <c r="W28">
        <v>6</v>
      </c>
      <c r="X28" s="3">
        <v>11.833266297593493</v>
      </c>
      <c r="Y28" s="7">
        <v>6.7242596458082574E-3</v>
      </c>
      <c r="Z28">
        <v>0.93997550418078801</v>
      </c>
      <c r="AA28"/>
      <c r="AB28"/>
    </row>
    <row r="29" spans="1:28" x14ac:dyDescent="0.3">
      <c r="A29" s="1" t="s">
        <v>44</v>
      </c>
      <c r="B29" s="1" t="s">
        <v>370</v>
      </c>
      <c r="C29" s="2">
        <v>45520</v>
      </c>
      <c r="D29" s="2">
        <v>45399</v>
      </c>
      <c r="E29" s="1" t="s">
        <v>376</v>
      </c>
      <c r="F29" s="1" t="s">
        <v>380</v>
      </c>
      <c r="G29" s="1" t="s">
        <v>382</v>
      </c>
      <c r="H29" s="1" t="s">
        <v>388</v>
      </c>
      <c r="I29">
        <v>27722.11</v>
      </c>
      <c r="J29">
        <v>1744537</v>
      </c>
      <c r="K29">
        <v>17288</v>
      </c>
      <c r="L29">
        <v>213</v>
      </c>
      <c r="M29">
        <v>233393.75</v>
      </c>
      <c r="N29" s="1" t="s">
        <v>389</v>
      </c>
      <c r="O29">
        <v>9</v>
      </c>
      <c r="P29" s="8">
        <v>9.9097926842480304E-3</v>
      </c>
      <c r="Q29" s="8">
        <v>1.23206848681166E-2</v>
      </c>
      <c r="R29" s="1">
        <v>130.15075117370893</v>
      </c>
      <c r="S29" s="3">
        <v>8.4190471071646424</v>
      </c>
      <c r="T29" s="1">
        <v>205671.64</v>
      </c>
      <c r="U29" s="2">
        <v>45550</v>
      </c>
      <c r="V29" s="10">
        <v>50.55</v>
      </c>
      <c r="W29">
        <v>30</v>
      </c>
      <c r="X29" s="3">
        <v>13.500332600647848</v>
      </c>
      <c r="Y29" s="7">
        <v>7.6833978366004606E-3</v>
      </c>
      <c r="Z29">
        <v>0.118778287764775</v>
      </c>
      <c r="AA29"/>
      <c r="AB29"/>
    </row>
    <row r="30" spans="1:28" x14ac:dyDescent="0.3">
      <c r="A30" s="1" t="s">
        <v>45</v>
      </c>
      <c r="B30" s="1" t="s">
        <v>367</v>
      </c>
      <c r="C30" s="2">
        <v>45408</v>
      </c>
      <c r="D30" s="2">
        <v>45539</v>
      </c>
      <c r="E30" s="1" t="s">
        <v>374</v>
      </c>
      <c r="F30" s="1" t="s">
        <v>380</v>
      </c>
      <c r="G30" s="1" t="s">
        <v>383</v>
      </c>
      <c r="H30" s="1" t="s">
        <v>387</v>
      </c>
      <c r="I30">
        <v>18513.689999999999</v>
      </c>
      <c r="J30">
        <v>1688497</v>
      </c>
      <c r="K30">
        <v>8156</v>
      </c>
      <c r="L30">
        <v>1959</v>
      </c>
      <c r="M30">
        <v>40173.82</v>
      </c>
      <c r="N30" s="1" t="s">
        <v>391</v>
      </c>
      <c r="O30">
        <v>9</v>
      </c>
      <c r="P30" s="8">
        <v>4.8303313538608601E-3</v>
      </c>
      <c r="Q30" s="8">
        <v>0.24019127023050499</v>
      </c>
      <c r="R30" s="1">
        <v>9.450581929555895</v>
      </c>
      <c r="S30" s="3">
        <v>2.1699520733035933</v>
      </c>
      <c r="T30" s="1">
        <v>21660.13</v>
      </c>
      <c r="U30" s="2">
        <v>45539</v>
      </c>
      <c r="V30" s="10">
        <v>21.25</v>
      </c>
      <c r="W30">
        <v>131</v>
      </c>
      <c r="X30" s="3">
        <v>4.9256768023540953</v>
      </c>
      <c r="Y30" s="7">
        <v>0.1058135898354137</v>
      </c>
      <c r="Z30">
        <v>0.46083967120876201</v>
      </c>
      <c r="AA30"/>
      <c r="AB30"/>
    </row>
    <row r="31" spans="1:28" x14ac:dyDescent="0.3">
      <c r="A31" s="1" t="s">
        <v>46</v>
      </c>
      <c r="B31" s="1" t="s">
        <v>367</v>
      </c>
      <c r="C31" s="2">
        <v>45570</v>
      </c>
      <c r="D31" s="2">
        <v>45394</v>
      </c>
      <c r="E31" s="1" t="s">
        <v>372</v>
      </c>
      <c r="F31" s="1" t="s">
        <v>381</v>
      </c>
      <c r="G31" s="1" t="s">
        <v>382</v>
      </c>
      <c r="H31" s="1" t="s">
        <v>387</v>
      </c>
      <c r="I31">
        <v>16531.57</v>
      </c>
      <c r="J31">
        <v>782303</v>
      </c>
      <c r="K31">
        <v>3044</v>
      </c>
      <c r="L31">
        <v>1732</v>
      </c>
      <c r="M31">
        <v>186903.17</v>
      </c>
      <c r="N31" s="1" t="s">
        <v>389</v>
      </c>
      <c r="O31">
        <v>6</v>
      </c>
      <c r="P31" s="8">
        <v>3.8910754528616201E-3</v>
      </c>
      <c r="Q31" s="8">
        <v>0.56898817345597896</v>
      </c>
      <c r="R31" s="1">
        <v>9.5447863741339489</v>
      </c>
      <c r="S31" s="3">
        <v>11.305833021304087</v>
      </c>
      <c r="T31" s="1">
        <v>170371.6</v>
      </c>
      <c r="U31" s="2">
        <v>45600</v>
      </c>
      <c r="V31" s="10">
        <v>66.099999999999994</v>
      </c>
      <c r="W31">
        <v>30</v>
      </c>
      <c r="X31" s="3">
        <v>61.400515768725363</v>
      </c>
      <c r="Y31" s="7">
        <v>0.10476923849337964</v>
      </c>
      <c r="Z31">
        <v>8.8449917676623593E-2</v>
      </c>
      <c r="AA31"/>
      <c r="AB31"/>
    </row>
    <row r="32" spans="1:28" x14ac:dyDescent="0.3">
      <c r="A32" s="1" t="s">
        <v>47</v>
      </c>
      <c r="B32" s="1" t="s">
        <v>369</v>
      </c>
      <c r="C32" s="2">
        <v>45418</v>
      </c>
      <c r="D32" s="2">
        <v>45603</v>
      </c>
      <c r="E32" s="1" t="s">
        <v>375</v>
      </c>
      <c r="F32" s="1" t="s">
        <v>378</v>
      </c>
      <c r="G32" s="1" t="s">
        <v>385</v>
      </c>
      <c r="H32" s="1" t="s">
        <v>388</v>
      </c>
      <c r="I32">
        <v>33811.14</v>
      </c>
      <c r="J32">
        <v>670399</v>
      </c>
      <c r="K32">
        <v>8368</v>
      </c>
      <c r="L32">
        <v>113</v>
      </c>
      <c r="M32">
        <v>243902.03</v>
      </c>
      <c r="N32" s="1" t="s">
        <v>391</v>
      </c>
      <c r="O32">
        <v>9</v>
      </c>
      <c r="P32" s="8">
        <v>1.24821188575759E-2</v>
      </c>
      <c r="Q32" s="8">
        <v>1.3503824091778201E-2</v>
      </c>
      <c r="R32" s="1">
        <v>299.21362831858409</v>
      </c>
      <c r="S32" s="3">
        <v>7.2136588710111518</v>
      </c>
      <c r="T32" s="1">
        <v>210090.89</v>
      </c>
      <c r="U32" s="2">
        <v>45603</v>
      </c>
      <c r="V32" s="10">
        <v>29.39</v>
      </c>
      <c r="W32">
        <v>185</v>
      </c>
      <c r="X32" s="3">
        <v>29.146992112810707</v>
      </c>
      <c r="Y32" s="7">
        <v>3.3420937596307016E-3</v>
      </c>
      <c r="Z32">
        <v>0.13862590647564499</v>
      </c>
      <c r="AA32"/>
      <c r="AB32"/>
    </row>
    <row r="33" spans="1:28" x14ac:dyDescent="0.3">
      <c r="A33" s="1" t="s">
        <v>48</v>
      </c>
      <c r="B33" s="1" t="s">
        <v>367</v>
      </c>
      <c r="C33" s="2">
        <v>45420</v>
      </c>
      <c r="D33" s="2">
        <v>45570</v>
      </c>
      <c r="E33" s="1" t="s">
        <v>373</v>
      </c>
      <c r="F33" s="1" t="s">
        <v>378</v>
      </c>
      <c r="G33" s="1" t="s">
        <v>385</v>
      </c>
      <c r="H33" s="1" t="s">
        <v>387</v>
      </c>
      <c r="I33">
        <v>14599.35</v>
      </c>
      <c r="J33">
        <v>914690</v>
      </c>
      <c r="K33">
        <v>20900</v>
      </c>
      <c r="L33">
        <v>1164</v>
      </c>
      <c r="M33">
        <v>22527.67</v>
      </c>
      <c r="N33" s="1" t="s">
        <v>389</v>
      </c>
      <c r="O33">
        <v>9</v>
      </c>
      <c r="P33" s="8">
        <v>2.2849271337830299E-2</v>
      </c>
      <c r="Q33" s="8">
        <v>5.5693779904306198E-2</v>
      </c>
      <c r="R33" s="1">
        <v>12.542396907216496</v>
      </c>
      <c r="S33" s="3">
        <v>1.5430597937579411</v>
      </c>
      <c r="T33" s="1">
        <v>7928.3199999999979</v>
      </c>
      <c r="U33" s="2">
        <v>45570</v>
      </c>
      <c r="V33" s="10">
        <v>72.89</v>
      </c>
      <c r="W33">
        <v>150</v>
      </c>
      <c r="X33" s="3">
        <v>1.0778789473684209</v>
      </c>
      <c r="Y33" s="7">
        <v>7.9729577001715832E-2</v>
      </c>
      <c r="Z33">
        <v>0.648063026491422</v>
      </c>
      <c r="AA33"/>
      <c r="AB33"/>
    </row>
    <row r="34" spans="1:28" x14ac:dyDescent="0.3">
      <c r="A34" s="1" t="s">
        <v>49</v>
      </c>
      <c r="B34" s="1" t="s">
        <v>367</v>
      </c>
      <c r="C34" s="2">
        <v>45349</v>
      </c>
      <c r="D34" s="2">
        <v>45368</v>
      </c>
      <c r="E34" s="1" t="s">
        <v>376</v>
      </c>
      <c r="F34" s="1" t="s">
        <v>380</v>
      </c>
      <c r="G34" s="1" t="s">
        <v>384</v>
      </c>
      <c r="H34" s="1" t="s">
        <v>388</v>
      </c>
      <c r="I34">
        <v>70755.33</v>
      </c>
      <c r="J34">
        <v>456140</v>
      </c>
      <c r="K34">
        <v>31600</v>
      </c>
      <c r="L34">
        <v>1190</v>
      </c>
      <c r="M34">
        <v>173726.53</v>
      </c>
      <c r="N34" s="1" t="s">
        <v>390</v>
      </c>
      <c r="O34">
        <v>7</v>
      </c>
      <c r="P34" s="8">
        <v>6.9276976366904899E-2</v>
      </c>
      <c r="Q34" s="8">
        <v>3.76582278481013E-2</v>
      </c>
      <c r="R34" s="1">
        <v>59.458260504201682</v>
      </c>
      <c r="S34" s="3">
        <v>2.4553136844955707</v>
      </c>
      <c r="T34" s="1">
        <v>102971.2</v>
      </c>
      <c r="U34" s="2">
        <v>45368</v>
      </c>
      <c r="V34" s="10">
        <v>44.19</v>
      </c>
      <c r="W34">
        <v>19</v>
      </c>
      <c r="X34" s="3">
        <v>5.4976750000000001</v>
      </c>
      <c r="Y34" s="7">
        <v>1.6818520951001146E-2</v>
      </c>
      <c r="Z34">
        <v>0.40727993588543998</v>
      </c>
      <c r="AA34"/>
      <c r="AB34"/>
    </row>
    <row r="35" spans="1:28" x14ac:dyDescent="0.3">
      <c r="A35" s="1" t="s">
        <v>50</v>
      </c>
      <c r="B35" s="1" t="s">
        <v>371</v>
      </c>
      <c r="C35" s="2">
        <v>45413</v>
      </c>
      <c r="D35" s="2">
        <v>45442</v>
      </c>
      <c r="E35" s="1" t="s">
        <v>376</v>
      </c>
      <c r="F35" s="1" t="s">
        <v>381</v>
      </c>
      <c r="G35" s="1" t="s">
        <v>382</v>
      </c>
      <c r="H35" s="1" t="s">
        <v>386</v>
      </c>
      <c r="I35">
        <v>10917.72</v>
      </c>
      <c r="J35">
        <v>1167862</v>
      </c>
      <c r="K35">
        <v>47403</v>
      </c>
      <c r="L35">
        <v>1939</v>
      </c>
      <c r="M35">
        <v>122356.99</v>
      </c>
      <c r="N35" s="1" t="s">
        <v>389</v>
      </c>
      <c r="O35">
        <v>6</v>
      </c>
      <c r="P35" s="8">
        <v>4.0589555957810101E-2</v>
      </c>
      <c r="Q35" s="8">
        <v>4.09045840980529E-2</v>
      </c>
      <c r="R35" s="1">
        <v>5.6305930892212475</v>
      </c>
      <c r="S35" s="3">
        <v>11.207192527377511</v>
      </c>
      <c r="T35" s="1">
        <v>111439.27</v>
      </c>
      <c r="U35" s="2">
        <v>45442</v>
      </c>
      <c r="V35" s="10">
        <v>42.17</v>
      </c>
      <c r="W35">
        <v>29</v>
      </c>
      <c r="X35" s="3">
        <v>2.5812077294685993</v>
      </c>
      <c r="Y35" s="7">
        <v>0.17760118413001982</v>
      </c>
      <c r="Z35">
        <v>8.9228412696324103E-2</v>
      </c>
      <c r="AA35"/>
      <c r="AB35"/>
    </row>
    <row r="36" spans="1:28" x14ac:dyDescent="0.3">
      <c r="A36" s="1" t="s">
        <v>51</v>
      </c>
      <c r="B36" s="1" t="s">
        <v>369</v>
      </c>
      <c r="C36" s="2">
        <v>45292</v>
      </c>
      <c r="D36" s="2">
        <v>45535</v>
      </c>
      <c r="E36" s="1" t="s">
        <v>373</v>
      </c>
      <c r="F36" s="1" t="s">
        <v>378</v>
      </c>
      <c r="G36" s="1" t="s">
        <v>383</v>
      </c>
      <c r="H36" s="1" t="s">
        <v>386</v>
      </c>
      <c r="I36">
        <v>53395.1</v>
      </c>
      <c r="J36">
        <v>143269</v>
      </c>
      <c r="K36">
        <v>26634</v>
      </c>
      <c r="L36">
        <v>316</v>
      </c>
      <c r="M36">
        <v>149002.06</v>
      </c>
      <c r="N36" s="1" t="s">
        <v>389</v>
      </c>
      <c r="O36">
        <v>8</v>
      </c>
      <c r="P36" s="8">
        <v>0.18590204440597799</v>
      </c>
      <c r="Q36" s="8">
        <v>1.18645340542164E-2</v>
      </c>
      <c r="R36" s="1">
        <v>168.97183544303797</v>
      </c>
      <c r="S36" s="3">
        <v>2.7905568113928059</v>
      </c>
      <c r="T36" s="1">
        <v>95606.959999999992</v>
      </c>
      <c r="U36" s="2">
        <v>45535</v>
      </c>
      <c r="V36" s="10">
        <v>24.53</v>
      </c>
      <c r="W36">
        <v>243</v>
      </c>
      <c r="X36" s="3">
        <v>5.5944304272734096</v>
      </c>
      <c r="Y36" s="7">
        <v>5.9181460471091915E-3</v>
      </c>
      <c r="Z36">
        <v>0.35835142145014598</v>
      </c>
      <c r="AA36"/>
      <c r="AB36"/>
    </row>
    <row r="37" spans="1:28" x14ac:dyDescent="0.3">
      <c r="A37" s="1" t="s">
        <v>52</v>
      </c>
      <c r="B37" s="1" t="s">
        <v>368</v>
      </c>
      <c r="C37" s="2">
        <v>45530</v>
      </c>
      <c r="D37" s="2">
        <v>45560</v>
      </c>
      <c r="E37" s="1" t="s">
        <v>375</v>
      </c>
      <c r="F37" s="1" t="s">
        <v>380</v>
      </c>
      <c r="G37" s="1" t="s">
        <v>384</v>
      </c>
      <c r="H37" s="1" t="s">
        <v>387</v>
      </c>
      <c r="I37">
        <v>99686.2</v>
      </c>
      <c r="J37">
        <v>308635</v>
      </c>
      <c r="K37">
        <v>10168</v>
      </c>
      <c r="L37">
        <v>1895</v>
      </c>
      <c r="M37">
        <v>30481.919999999998</v>
      </c>
      <c r="N37" s="1" t="s">
        <v>389</v>
      </c>
      <c r="O37">
        <v>4</v>
      </c>
      <c r="P37" s="8">
        <v>3.2945064558458997E-2</v>
      </c>
      <c r="Q37" s="8">
        <v>0.18636900078678201</v>
      </c>
      <c r="R37" s="1">
        <v>52.60485488126649</v>
      </c>
      <c r="S37" s="3">
        <v>0.30577873366624464</v>
      </c>
      <c r="T37" s="1">
        <v>-69204.28</v>
      </c>
      <c r="U37" s="2">
        <v>45560</v>
      </c>
      <c r="V37" s="10">
        <v>56.45</v>
      </c>
      <c r="W37">
        <v>30</v>
      </c>
      <c r="X37" s="3">
        <v>2.9978284815106213</v>
      </c>
      <c r="Y37" s="7">
        <v>1.9009652288882514E-2</v>
      </c>
      <c r="Z37">
        <v>3.2703386138405999</v>
      </c>
      <c r="AA37"/>
      <c r="AB37"/>
    </row>
    <row r="38" spans="1:28" x14ac:dyDescent="0.3">
      <c r="A38" s="1" t="s">
        <v>53</v>
      </c>
      <c r="B38" s="1" t="s">
        <v>369</v>
      </c>
      <c r="C38" s="2">
        <v>45581</v>
      </c>
      <c r="D38" s="2">
        <v>45377</v>
      </c>
      <c r="E38" s="1" t="s">
        <v>375</v>
      </c>
      <c r="F38" s="1" t="s">
        <v>379</v>
      </c>
      <c r="G38" s="1" t="s">
        <v>384</v>
      </c>
      <c r="H38" s="1" t="s">
        <v>388</v>
      </c>
      <c r="I38">
        <v>82327.179999999993</v>
      </c>
      <c r="J38">
        <v>1172647</v>
      </c>
      <c r="K38">
        <v>21961</v>
      </c>
      <c r="L38">
        <v>1758</v>
      </c>
      <c r="M38">
        <v>20321.669999999998</v>
      </c>
      <c r="N38" s="1" t="s">
        <v>390</v>
      </c>
      <c r="O38">
        <v>4</v>
      </c>
      <c r="P38" s="8">
        <v>1.8727716013429398E-2</v>
      </c>
      <c r="Q38" s="8">
        <v>8.0050999499112097E-2</v>
      </c>
      <c r="R38" s="1">
        <v>46.830022753128553</v>
      </c>
      <c r="S38" s="3">
        <v>0.24684035090233869</v>
      </c>
      <c r="T38" s="1">
        <v>-62005.509999999995</v>
      </c>
      <c r="U38" s="2">
        <v>45611</v>
      </c>
      <c r="V38" s="10">
        <v>73.739999999999995</v>
      </c>
      <c r="W38">
        <v>30</v>
      </c>
      <c r="X38" s="3">
        <v>0.9253526706434132</v>
      </c>
      <c r="Y38" s="7">
        <v>2.1353822637918608E-2</v>
      </c>
      <c r="Z38">
        <v>4.05120150066407</v>
      </c>
      <c r="AA38"/>
      <c r="AB38"/>
    </row>
    <row r="39" spans="1:28" x14ac:dyDescent="0.3">
      <c r="A39" s="1" t="s">
        <v>54</v>
      </c>
      <c r="B39" s="1" t="s">
        <v>368</v>
      </c>
      <c r="C39" s="2">
        <v>45387</v>
      </c>
      <c r="D39" s="2">
        <v>45428</v>
      </c>
      <c r="E39" s="1" t="s">
        <v>372</v>
      </c>
      <c r="F39" s="1" t="s">
        <v>378</v>
      </c>
      <c r="G39" s="1" t="s">
        <v>384</v>
      </c>
      <c r="H39" s="1" t="s">
        <v>388</v>
      </c>
      <c r="I39">
        <v>63445.85</v>
      </c>
      <c r="J39">
        <v>1549118</v>
      </c>
      <c r="K39">
        <v>45096</v>
      </c>
      <c r="L39">
        <v>1632</v>
      </c>
      <c r="M39">
        <v>170048</v>
      </c>
      <c r="N39" s="1" t="s">
        <v>389</v>
      </c>
      <c r="O39">
        <v>9</v>
      </c>
      <c r="P39" s="8">
        <v>2.9110758509035502E-2</v>
      </c>
      <c r="Q39" s="8">
        <v>3.6189462480042602E-2</v>
      </c>
      <c r="R39" s="1">
        <v>38.876133578431372</v>
      </c>
      <c r="S39" s="3">
        <v>2.6802068220380058</v>
      </c>
      <c r="T39" s="1">
        <v>106602.15</v>
      </c>
      <c r="U39" s="2">
        <v>45428</v>
      </c>
      <c r="V39" s="10">
        <v>26.59</v>
      </c>
      <c r="W39">
        <v>41</v>
      </c>
      <c r="X39" s="3">
        <v>3.7708000709597305</v>
      </c>
      <c r="Y39" s="7">
        <v>2.5722722605182213E-2</v>
      </c>
      <c r="Z39">
        <v>0.37310553490779103</v>
      </c>
      <c r="AA39"/>
      <c r="AB39"/>
    </row>
    <row r="40" spans="1:28" x14ac:dyDescent="0.3">
      <c r="A40" s="1" t="s">
        <v>55</v>
      </c>
      <c r="B40" s="1" t="s">
        <v>371</v>
      </c>
      <c r="C40" s="2">
        <v>45417</v>
      </c>
      <c r="D40" s="2">
        <v>45369</v>
      </c>
      <c r="E40" s="1" t="s">
        <v>372</v>
      </c>
      <c r="F40" s="1" t="s">
        <v>381</v>
      </c>
      <c r="G40" s="1" t="s">
        <v>383</v>
      </c>
      <c r="H40" s="1" t="s">
        <v>387</v>
      </c>
      <c r="I40">
        <v>34094.089999999997</v>
      </c>
      <c r="J40">
        <v>1319671</v>
      </c>
      <c r="K40">
        <v>47087</v>
      </c>
      <c r="L40">
        <v>1213</v>
      </c>
      <c r="M40">
        <v>207594.26</v>
      </c>
      <c r="N40" s="1" t="s">
        <v>390</v>
      </c>
      <c r="O40">
        <v>4</v>
      </c>
      <c r="P40" s="8">
        <v>3.5680862881733402E-2</v>
      </c>
      <c r="Q40" s="8">
        <v>2.5760825705608802E-2</v>
      </c>
      <c r="R40" s="1">
        <v>28.107246496290188</v>
      </c>
      <c r="S40" s="3">
        <v>6.0888634951101501</v>
      </c>
      <c r="T40" s="1">
        <v>173500.17</v>
      </c>
      <c r="U40" s="2">
        <v>45447</v>
      </c>
      <c r="V40" s="10">
        <v>68.81</v>
      </c>
      <c r="W40">
        <v>30</v>
      </c>
      <c r="X40" s="3">
        <v>4.4087382929470982</v>
      </c>
      <c r="Y40" s="7">
        <v>3.5578013667471403E-2</v>
      </c>
      <c r="Z40">
        <v>0.16423426158314799</v>
      </c>
      <c r="AA40"/>
      <c r="AB40"/>
    </row>
    <row r="41" spans="1:28" x14ac:dyDescent="0.3">
      <c r="A41" s="1" t="s">
        <v>56</v>
      </c>
      <c r="B41" s="1" t="s">
        <v>370</v>
      </c>
      <c r="C41" s="2">
        <v>45409</v>
      </c>
      <c r="D41" s="2">
        <v>45382</v>
      </c>
      <c r="E41" s="1" t="s">
        <v>377</v>
      </c>
      <c r="F41" s="1" t="s">
        <v>381</v>
      </c>
      <c r="G41" s="1" t="s">
        <v>384</v>
      </c>
      <c r="H41" s="1" t="s">
        <v>388</v>
      </c>
      <c r="I41">
        <v>64270.1</v>
      </c>
      <c r="J41">
        <v>563317</v>
      </c>
      <c r="K41">
        <v>24852</v>
      </c>
      <c r="L41">
        <v>295</v>
      </c>
      <c r="M41">
        <v>197683.68</v>
      </c>
      <c r="N41" s="1" t="s">
        <v>391</v>
      </c>
      <c r="O41">
        <v>6</v>
      </c>
      <c r="P41" s="8">
        <v>4.4117255470720797E-2</v>
      </c>
      <c r="Q41" s="8">
        <v>1.1870272010301001E-2</v>
      </c>
      <c r="R41" s="1">
        <v>217.86474576271186</v>
      </c>
      <c r="S41" s="3">
        <v>3.0758265507599956</v>
      </c>
      <c r="T41" s="1">
        <v>133413.57999999999</v>
      </c>
      <c r="U41" s="2">
        <v>45439</v>
      </c>
      <c r="V41" s="10">
        <v>60.72</v>
      </c>
      <c r="W41">
        <v>30</v>
      </c>
      <c r="X41" s="3">
        <v>7.9544374698213423</v>
      </c>
      <c r="Y41" s="7">
        <v>4.5900037497996734E-3</v>
      </c>
      <c r="Z41">
        <v>0.32511586186578501</v>
      </c>
      <c r="AA41"/>
      <c r="AB41"/>
    </row>
    <row r="42" spans="1:28" x14ac:dyDescent="0.3">
      <c r="A42" s="1" t="s">
        <v>57</v>
      </c>
      <c r="B42" s="1" t="s">
        <v>367</v>
      </c>
      <c r="C42" s="2">
        <v>45339</v>
      </c>
      <c r="D42" s="2">
        <v>45347</v>
      </c>
      <c r="E42" s="1" t="s">
        <v>377</v>
      </c>
      <c r="F42" s="1" t="s">
        <v>381</v>
      </c>
      <c r="G42" s="1" t="s">
        <v>383</v>
      </c>
      <c r="H42" s="1" t="s">
        <v>386</v>
      </c>
      <c r="I42">
        <v>55068.94</v>
      </c>
      <c r="J42">
        <v>1129227</v>
      </c>
      <c r="K42">
        <v>34110</v>
      </c>
      <c r="L42">
        <v>1734</v>
      </c>
      <c r="M42">
        <v>140513.37</v>
      </c>
      <c r="N42" s="1" t="s">
        <v>389</v>
      </c>
      <c r="O42">
        <v>6</v>
      </c>
      <c r="P42" s="8">
        <v>3.02065040952793E-2</v>
      </c>
      <c r="Q42" s="8">
        <v>5.08355321020229E-2</v>
      </c>
      <c r="R42" s="1">
        <v>31.758327566320649</v>
      </c>
      <c r="S42" s="3">
        <v>2.5515902430662365</v>
      </c>
      <c r="T42" s="1">
        <v>85444.43</v>
      </c>
      <c r="U42" s="2">
        <v>45347</v>
      </c>
      <c r="V42" s="10">
        <v>32.840000000000003</v>
      </c>
      <c r="W42">
        <v>8</v>
      </c>
      <c r="X42" s="3">
        <v>4.1194186455584871</v>
      </c>
      <c r="Y42" s="7">
        <v>3.1487804195976896E-2</v>
      </c>
      <c r="Z42">
        <v>0.39191245644453598</v>
      </c>
      <c r="AA42"/>
      <c r="AB42"/>
    </row>
    <row r="43" spans="1:28" x14ac:dyDescent="0.3">
      <c r="A43" s="1" t="s">
        <v>58</v>
      </c>
      <c r="B43" s="1" t="s">
        <v>371</v>
      </c>
      <c r="C43" s="2">
        <v>45380</v>
      </c>
      <c r="D43" s="2">
        <v>45613</v>
      </c>
      <c r="E43" s="1" t="s">
        <v>374</v>
      </c>
      <c r="F43" s="1" t="s">
        <v>379</v>
      </c>
      <c r="G43" s="1" t="s">
        <v>384</v>
      </c>
      <c r="H43" s="1" t="s">
        <v>387</v>
      </c>
      <c r="I43">
        <v>45477.919999999998</v>
      </c>
      <c r="J43">
        <v>120202</v>
      </c>
      <c r="K43">
        <v>33174</v>
      </c>
      <c r="L43">
        <v>1831</v>
      </c>
      <c r="M43">
        <v>33968.04</v>
      </c>
      <c r="N43" s="1" t="s">
        <v>390</v>
      </c>
      <c r="O43">
        <v>5</v>
      </c>
      <c r="P43" s="8">
        <v>0.27598542453536501</v>
      </c>
      <c r="Q43" s="8">
        <v>5.5193826490625202E-2</v>
      </c>
      <c r="R43" s="1">
        <v>24.837749863462587</v>
      </c>
      <c r="S43" s="3">
        <v>0.74691278756812107</v>
      </c>
      <c r="T43" s="1">
        <v>-11509.879999999997</v>
      </c>
      <c r="U43" s="2">
        <v>45613</v>
      </c>
      <c r="V43" s="10">
        <v>66.069999999999993</v>
      </c>
      <c r="W43">
        <v>233</v>
      </c>
      <c r="X43" s="3">
        <v>1.0239356122264425</v>
      </c>
      <c r="Y43" s="7">
        <v>4.0261296031128956E-2</v>
      </c>
      <c r="Z43">
        <v>1.3388443960852601</v>
      </c>
      <c r="AA43"/>
      <c r="AB43"/>
    </row>
    <row r="44" spans="1:28" x14ac:dyDescent="0.3">
      <c r="A44" s="1" t="s">
        <v>59</v>
      </c>
      <c r="B44" s="1" t="s">
        <v>367</v>
      </c>
      <c r="C44" s="2">
        <v>45528</v>
      </c>
      <c r="D44" s="2">
        <v>45578</v>
      </c>
      <c r="E44" s="1" t="s">
        <v>376</v>
      </c>
      <c r="F44" s="1" t="s">
        <v>378</v>
      </c>
      <c r="G44" s="1" t="s">
        <v>383</v>
      </c>
      <c r="H44" s="1" t="s">
        <v>387</v>
      </c>
      <c r="I44">
        <v>17417.490000000002</v>
      </c>
      <c r="J44">
        <v>1147353</v>
      </c>
      <c r="K44">
        <v>35215</v>
      </c>
      <c r="L44">
        <v>444</v>
      </c>
      <c r="M44">
        <v>175130.67</v>
      </c>
      <c r="N44" s="1" t="s">
        <v>390</v>
      </c>
      <c r="O44">
        <v>5</v>
      </c>
      <c r="P44" s="8">
        <v>3.0692384993981799E-2</v>
      </c>
      <c r="Q44" s="8">
        <v>1.2608263524066399E-2</v>
      </c>
      <c r="R44" s="1">
        <v>39.228581081081082</v>
      </c>
      <c r="S44" s="3">
        <v>10.054874152360645</v>
      </c>
      <c r="T44" s="1">
        <v>157713.18000000002</v>
      </c>
      <c r="U44" s="2">
        <v>45578</v>
      </c>
      <c r="V44" s="10">
        <v>75.319999999999993</v>
      </c>
      <c r="W44">
        <v>50</v>
      </c>
      <c r="X44" s="3">
        <v>4.9731838705097262</v>
      </c>
      <c r="Y44" s="7">
        <v>2.549161790820606E-2</v>
      </c>
      <c r="Z44">
        <v>9.94542532156132E-2</v>
      </c>
      <c r="AA44"/>
      <c r="AB44"/>
    </row>
    <row r="45" spans="1:28" x14ac:dyDescent="0.3">
      <c r="A45" s="1" t="s">
        <v>60</v>
      </c>
      <c r="B45" s="1" t="s">
        <v>370</v>
      </c>
      <c r="C45" s="2">
        <v>45563</v>
      </c>
      <c r="D45" s="2">
        <v>45329</v>
      </c>
      <c r="E45" s="1" t="s">
        <v>372</v>
      </c>
      <c r="F45" s="1" t="s">
        <v>378</v>
      </c>
      <c r="G45" s="1" t="s">
        <v>385</v>
      </c>
      <c r="H45" s="1" t="s">
        <v>388</v>
      </c>
      <c r="I45">
        <v>89227.4</v>
      </c>
      <c r="J45">
        <v>198066</v>
      </c>
      <c r="K45">
        <v>27955</v>
      </c>
      <c r="L45">
        <v>1560</v>
      </c>
      <c r="M45">
        <v>68053.33</v>
      </c>
      <c r="N45" s="1" t="s">
        <v>389</v>
      </c>
      <c r="O45">
        <v>4</v>
      </c>
      <c r="P45" s="8">
        <v>0.14113982207950901</v>
      </c>
      <c r="Q45" s="8">
        <v>5.5803970667143599E-2</v>
      </c>
      <c r="R45" s="1">
        <v>57.197051282051277</v>
      </c>
      <c r="S45" s="3">
        <v>0.76269542763769882</v>
      </c>
      <c r="T45" s="1">
        <v>-21174.069999999992</v>
      </c>
      <c r="U45" s="2">
        <v>45593</v>
      </c>
      <c r="V45" s="10">
        <v>40.1</v>
      </c>
      <c r="W45">
        <v>30</v>
      </c>
      <c r="X45" s="3">
        <v>2.434388481488106</v>
      </c>
      <c r="Y45" s="7">
        <v>1.7483418770467368E-2</v>
      </c>
      <c r="Z45">
        <v>1.3111393667290001</v>
      </c>
      <c r="AA45"/>
      <c r="AB45"/>
    </row>
    <row r="46" spans="1:28" x14ac:dyDescent="0.3">
      <c r="A46" s="1" t="s">
        <v>61</v>
      </c>
      <c r="B46" s="1" t="s">
        <v>370</v>
      </c>
      <c r="C46" s="2">
        <v>45480</v>
      </c>
      <c r="D46" s="2">
        <v>45434</v>
      </c>
      <c r="E46" s="1" t="s">
        <v>375</v>
      </c>
      <c r="F46" s="1" t="s">
        <v>379</v>
      </c>
      <c r="G46" s="1" t="s">
        <v>385</v>
      </c>
      <c r="H46" s="1" t="s">
        <v>387</v>
      </c>
      <c r="I46">
        <v>47729.54</v>
      </c>
      <c r="J46">
        <v>903695</v>
      </c>
      <c r="K46">
        <v>7581</v>
      </c>
      <c r="L46">
        <v>525</v>
      </c>
      <c r="M46">
        <v>228656.49</v>
      </c>
      <c r="N46" s="1" t="s">
        <v>391</v>
      </c>
      <c r="O46">
        <v>8</v>
      </c>
      <c r="P46" s="8">
        <v>8.3888922700690004E-3</v>
      </c>
      <c r="Q46" s="8">
        <v>6.9252077562326902E-2</v>
      </c>
      <c r="R46" s="1">
        <v>90.91340952380952</v>
      </c>
      <c r="S46" s="3">
        <v>4.7906703060620321</v>
      </c>
      <c r="T46" s="1">
        <v>180926.94999999998</v>
      </c>
      <c r="U46" s="2">
        <v>45510</v>
      </c>
      <c r="V46" s="10">
        <v>56.32</v>
      </c>
      <c r="W46">
        <v>30</v>
      </c>
      <c r="X46" s="3">
        <v>30.161784724970321</v>
      </c>
      <c r="Y46" s="7">
        <v>1.0999477472441595E-2</v>
      </c>
      <c r="Z46">
        <v>0.208739056564719</v>
      </c>
      <c r="AA46"/>
      <c r="AB46"/>
    </row>
    <row r="47" spans="1:28" x14ac:dyDescent="0.3">
      <c r="A47" s="1" t="s">
        <v>62</v>
      </c>
      <c r="B47" s="1" t="s">
        <v>371</v>
      </c>
      <c r="C47" s="2">
        <v>45483</v>
      </c>
      <c r="D47" s="2">
        <v>45574</v>
      </c>
      <c r="E47" s="1" t="s">
        <v>373</v>
      </c>
      <c r="F47" s="1" t="s">
        <v>378</v>
      </c>
      <c r="G47" s="1" t="s">
        <v>385</v>
      </c>
      <c r="H47" s="1" t="s">
        <v>388</v>
      </c>
      <c r="I47">
        <v>23489.14</v>
      </c>
      <c r="J47">
        <v>240706</v>
      </c>
      <c r="K47">
        <v>45619</v>
      </c>
      <c r="L47">
        <v>1590</v>
      </c>
      <c r="M47">
        <v>211183.69</v>
      </c>
      <c r="N47" s="1" t="s">
        <v>390</v>
      </c>
      <c r="O47">
        <v>5</v>
      </c>
      <c r="P47" s="8">
        <v>0.18952165712529001</v>
      </c>
      <c r="Q47" s="8">
        <v>3.4853898594883699E-2</v>
      </c>
      <c r="R47" s="1">
        <v>14.773044025157231</v>
      </c>
      <c r="S47" s="3">
        <v>8.9906948487684097</v>
      </c>
      <c r="T47" s="1">
        <v>187694.55</v>
      </c>
      <c r="U47" s="2">
        <v>45574</v>
      </c>
      <c r="V47" s="10">
        <v>17.23</v>
      </c>
      <c r="W47">
        <v>91</v>
      </c>
      <c r="X47" s="3">
        <v>4.6292924000964515</v>
      </c>
      <c r="Y47" s="7">
        <v>6.7690856285074721E-2</v>
      </c>
      <c r="Z47">
        <v>0.11122610841774799</v>
      </c>
      <c r="AA47"/>
      <c r="AB47"/>
    </row>
    <row r="48" spans="1:28" x14ac:dyDescent="0.3">
      <c r="A48" s="1" t="s">
        <v>63</v>
      </c>
      <c r="B48" s="1" t="s">
        <v>370</v>
      </c>
      <c r="C48" s="2">
        <v>45360</v>
      </c>
      <c r="D48" s="2">
        <v>45501</v>
      </c>
      <c r="E48" s="1" t="s">
        <v>375</v>
      </c>
      <c r="F48" s="1" t="s">
        <v>379</v>
      </c>
      <c r="G48" s="1" t="s">
        <v>385</v>
      </c>
      <c r="H48" s="1" t="s">
        <v>388</v>
      </c>
      <c r="I48">
        <v>39937.14</v>
      </c>
      <c r="J48">
        <v>674446</v>
      </c>
      <c r="K48">
        <v>7317</v>
      </c>
      <c r="L48">
        <v>1026</v>
      </c>
      <c r="M48">
        <v>180251.91</v>
      </c>
      <c r="N48" s="1" t="s">
        <v>389</v>
      </c>
      <c r="O48">
        <v>5</v>
      </c>
      <c r="P48" s="8">
        <v>1.08489041376181E-2</v>
      </c>
      <c r="Q48" s="8">
        <v>0.14022140221402199</v>
      </c>
      <c r="R48" s="1">
        <v>38.925087719298247</v>
      </c>
      <c r="S48" s="3">
        <v>4.5133905432386996</v>
      </c>
      <c r="T48" s="1">
        <v>140314.77000000002</v>
      </c>
      <c r="U48" s="2">
        <v>45501</v>
      </c>
      <c r="V48" s="10">
        <v>76.3</v>
      </c>
      <c r="W48">
        <v>141</v>
      </c>
      <c r="X48" s="3">
        <v>24.634674046740468</v>
      </c>
      <c r="Y48" s="7">
        <v>2.5690372420258435E-2</v>
      </c>
      <c r="Z48">
        <v>0.22156292268969599</v>
      </c>
      <c r="AA48"/>
      <c r="AB48"/>
    </row>
    <row r="49" spans="1:28" x14ac:dyDescent="0.3">
      <c r="A49" s="1" t="s">
        <v>64</v>
      </c>
      <c r="B49" s="1" t="s">
        <v>368</v>
      </c>
      <c r="C49" s="2">
        <v>45569</v>
      </c>
      <c r="D49" s="2">
        <v>45528</v>
      </c>
      <c r="E49" s="1" t="s">
        <v>376</v>
      </c>
      <c r="F49" s="1" t="s">
        <v>379</v>
      </c>
      <c r="G49" s="1" t="s">
        <v>385</v>
      </c>
      <c r="H49" s="1" t="s">
        <v>388</v>
      </c>
      <c r="I49">
        <v>44342.33</v>
      </c>
      <c r="J49">
        <v>847232</v>
      </c>
      <c r="K49">
        <v>43856</v>
      </c>
      <c r="L49">
        <v>1257</v>
      </c>
      <c r="M49">
        <v>237723.03</v>
      </c>
      <c r="N49" s="1" t="s">
        <v>391</v>
      </c>
      <c r="O49">
        <v>6</v>
      </c>
      <c r="P49" s="8">
        <v>5.1763861610515202E-2</v>
      </c>
      <c r="Q49" s="8">
        <v>2.8661984677125101E-2</v>
      </c>
      <c r="R49" s="1">
        <v>35.276316626889418</v>
      </c>
      <c r="S49" s="3">
        <v>5.3610856714114927</v>
      </c>
      <c r="T49" s="1">
        <v>193380.7</v>
      </c>
      <c r="U49" s="2">
        <v>45599</v>
      </c>
      <c r="V49" s="10">
        <v>25.31</v>
      </c>
      <c r="W49">
        <v>30</v>
      </c>
      <c r="X49" s="3">
        <v>5.4205360726012408</v>
      </c>
      <c r="Y49" s="7">
        <v>2.8347630807853352E-2</v>
      </c>
      <c r="Z49">
        <v>0.18652938253395099</v>
      </c>
      <c r="AA49"/>
      <c r="AB49"/>
    </row>
    <row r="50" spans="1:28" x14ac:dyDescent="0.3">
      <c r="A50" s="1" t="s">
        <v>65</v>
      </c>
      <c r="B50" s="1" t="s">
        <v>370</v>
      </c>
      <c r="C50" s="2">
        <v>45538</v>
      </c>
      <c r="D50" s="2">
        <v>45448</v>
      </c>
      <c r="E50" s="1" t="s">
        <v>377</v>
      </c>
      <c r="F50" s="1" t="s">
        <v>379</v>
      </c>
      <c r="G50" s="1" t="s">
        <v>384</v>
      </c>
      <c r="H50" s="1" t="s">
        <v>388</v>
      </c>
      <c r="I50">
        <v>83616.100000000006</v>
      </c>
      <c r="J50">
        <v>874255</v>
      </c>
      <c r="K50">
        <v>46714</v>
      </c>
      <c r="L50">
        <v>1093</v>
      </c>
      <c r="M50">
        <v>17541.240000000002</v>
      </c>
      <c r="N50" s="1" t="s">
        <v>390</v>
      </c>
      <c r="O50">
        <v>8</v>
      </c>
      <c r="P50" s="8">
        <v>5.3432922888630899E-2</v>
      </c>
      <c r="Q50" s="8">
        <v>2.3397696621997699E-2</v>
      </c>
      <c r="R50" s="1">
        <v>76.501463860933214</v>
      </c>
      <c r="S50" s="3">
        <v>0.20978304417450708</v>
      </c>
      <c r="T50" s="1">
        <v>-66074.86</v>
      </c>
      <c r="U50" s="2">
        <v>45568</v>
      </c>
      <c r="V50" s="10">
        <v>19.600000000000001</v>
      </c>
      <c r="W50">
        <v>30</v>
      </c>
      <c r="X50" s="3">
        <v>0.37550284711221477</v>
      </c>
      <c r="Y50" s="7">
        <v>1.3071645293191143E-2</v>
      </c>
      <c r="Z50">
        <v>4.7668294829783999</v>
      </c>
      <c r="AA50"/>
      <c r="AB50"/>
    </row>
    <row r="51" spans="1:28" x14ac:dyDescent="0.3">
      <c r="A51" s="1" t="s">
        <v>66</v>
      </c>
      <c r="B51" s="1" t="s">
        <v>367</v>
      </c>
      <c r="C51" s="2">
        <v>45367</v>
      </c>
      <c r="D51" s="2">
        <v>45377</v>
      </c>
      <c r="E51" s="1" t="s">
        <v>375</v>
      </c>
      <c r="F51" s="1" t="s">
        <v>381</v>
      </c>
      <c r="G51" s="1" t="s">
        <v>384</v>
      </c>
      <c r="H51" s="1" t="s">
        <v>388</v>
      </c>
      <c r="I51">
        <v>74693.37</v>
      </c>
      <c r="J51">
        <v>1862511</v>
      </c>
      <c r="K51">
        <v>27649</v>
      </c>
      <c r="L51">
        <v>607</v>
      </c>
      <c r="M51">
        <v>186688.1</v>
      </c>
      <c r="N51" s="1" t="s">
        <v>390</v>
      </c>
      <c r="O51">
        <v>9</v>
      </c>
      <c r="P51" s="8">
        <v>1.48450129958964E-2</v>
      </c>
      <c r="Q51" s="8">
        <v>2.19537777134797E-2</v>
      </c>
      <c r="R51" s="1">
        <v>123.05332784184513</v>
      </c>
      <c r="S51" s="3">
        <v>2.4993931857673584</v>
      </c>
      <c r="T51" s="1">
        <v>111994.73000000001</v>
      </c>
      <c r="U51" s="2">
        <v>45377</v>
      </c>
      <c r="V51" s="10">
        <v>30</v>
      </c>
      <c r="W51">
        <v>10</v>
      </c>
      <c r="X51" s="3">
        <v>6.7520742160656804</v>
      </c>
      <c r="Y51" s="7">
        <v>8.126557952867838E-3</v>
      </c>
      <c r="Z51">
        <v>0.40009711384924901</v>
      </c>
      <c r="AA51"/>
      <c r="AB51"/>
    </row>
    <row r="52" spans="1:28" x14ac:dyDescent="0.3">
      <c r="A52" s="1" t="s">
        <v>67</v>
      </c>
      <c r="B52" s="1" t="s">
        <v>367</v>
      </c>
      <c r="C52" s="2">
        <v>45445</v>
      </c>
      <c r="D52" s="2">
        <v>45535</v>
      </c>
      <c r="E52" s="1" t="s">
        <v>374</v>
      </c>
      <c r="F52" s="1" t="s">
        <v>378</v>
      </c>
      <c r="G52" s="1" t="s">
        <v>384</v>
      </c>
      <c r="H52" s="1" t="s">
        <v>387</v>
      </c>
      <c r="I52">
        <v>78083.960000000006</v>
      </c>
      <c r="J52">
        <v>1424598</v>
      </c>
      <c r="K52">
        <v>24132</v>
      </c>
      <c r="L52">
        <v>1067</v>
      </c>
      <c r="M52">
        <v>89258.27</v>
      </c>
      <c r="N52" s="1" t="s">
        <v>391</v>
      </c>
      <c r="O52">
        <v>4</v>
      </c>
      <c r="P52" s="8">
        <v>1.6939515568602501E-2</v>
      </c>
      <c r="Q52" s="8">
        <v>4.4215150008287803E-2</v>
      </c>
      <c r="R52" s="1">
        <v>73.18084348641051</v>
      </c>
      <c r="S52" s="3">
        <v>1.1431063434795059</v>
      </c>
      <c r="T52" s="1">
        <v>11174.309999999998</v>
      </c>
      <c r="U52" s="2">
        <v>45535</v>
      </c>
      <c r="V52" s="10">
        <v>30.06</v>
      </c>
      <c r="W52">
        <v>90</v>
      </c>
      <c r="X52" s="3">
        <v>3.6987514503563736</v>
      </c>
      <c r="Y52" s="7">
        <v>1.3664778272003622E-2</v>
      </c>
      <c r="Z52">
        <v>0.87480924736721899</v>
      </c>
      <c r="AA52"/>
      <c r="AB52"/>
    </row>
    <row r="53" spans="1:28" x14ac:dyDescent="0.3">
      <c r="A53" s="1" t="s">
        <v>68</v>
      </c>
      <c r="B53" s="1" t="s">
        <v>367</v>
      </c>
      <c r="C53" s="2">
        <v>45435</v>
      </c>
      <c r="D53" s="2">
        <v>45335</v>
      </c>
      <c r="E53" s="1" t="s">
        <v>376</v>
      </c>
      <c r="F53" s="1" t="s">
        <v>379</v>
      </c>
      <c r="G53" s="1" t="s">
        <v>383</v>
      </c>
      <c r="H53" s="1" t="s">
        <v>386</v>
      </c>
      <c r="I53">
        <v>6047.97</v>
      </c>
      <c r="J53">
        <v>330852</v>
      </c>
      <c r="K53">
        <v>17789</v>
      </c>
      <c r="L53">
        <v>1597</v>
      </c>
      <c r="M53">
        <v>227455.81</v>
      </c>
      <c r="N53" s="1" t="s">
        <v>391</v>
      </c>
      <c r="O53">
        <v>5</v>
      </c>
      <c r="P53" s="8">
        <v>5.3767243359568603E-2</v>
      </c>
      <c r="Q53" s="8">
        <v>8.9774579796503398E-2</v>
      </c>
      <c r="R53" s="1">
        <v>3.7870820288040075</v>
      </c>
      <c r="S53" s="3">
        <v>37.608620743819827</v>
      </c>
      <c r="T53" s="1">
        <v>221407.84</v>
      </c>
      <c r="U53" s="2">
        <v>45465</v>
      </c>
      <c r="V53" s="10">
        <v>69.16</v>
      </c>
      <c r="W53">
        <v>30</v>
      </c>
      <c r="X53" s="3">
        <v>12.786317949294508</v>
      </c>
      <c r="Y53" s="7">
        <v>0.26405554260355124</v>
      </c>
      <c r="Z53">
        <v>2.65896483365274E-2</v>
      </c>
      <c r="AA53"/>
      <c r="AB53"/>
    </row>
    <row r="54" spans="1:28" x14ac:dyDescent="0.3">
      <c r="A54" s="1" t="s">
        <v>69</v>
      </c>
      <c r="B54" s="1" t="s">
        <v>367</v>
      </c>
      <c r="C54" s="2">
        <v>45377</v>
      </c>
      <c r="D54" s="2">
        <v>45349</v>
      </c>
      <c r="E54" s="1" t="s">
        <v>377</v>
      </c>
      <c r="F54" s="1" t="s">
        <v>378</v>
      </c>
      <c r="G54" s="1" t="s">
        <v>383</v>
      </c>
      <c r="H54" s="1" t="s">
        <v>386</v>
      </c>
      <c r="I54">
        <v>44534.63</v>
      </c>
      <c r="J54">
        <v>718179</v>
      </c>
      <c r="K54">
        <v>15567</v>
      </c>
      <c r="L54">
        <v>1655</v>
      </c>
      <c r="M54">
        <v>74002.05</v>
      </c>
      <c r="N54" s="1" t="s">
        <v>389</v>
      </c>
      <c r="O54">
        <v>8</v>
      </c>
      <c r="P54" s="8">
        <v>2.16756546766196E-2</v>
      </c>
      <c r="Q54" s="8">
        <v>0.10631463994347</v>
      </c>
      <c r="R54" s="1">
        <v>26.909141993957704</v>
      </c>
      <c r="S54" s="3">
        <v>1.661674297058267</v>
      </c>
      <c r="T54" s="1">
        <v>29467.420000000006</v>
      </c>
      <c r="U54" s="2">
        <v>45407</v>
      </c>
      <c r="V54" s="10">
        <v>62.58</v>
      </c>
      <c r="W54">
        <v>30</v>
      </c>
      <c r="X54" s="3">
        <v>4.7537772210445173</v>
      </c>
      <c r="Y54" s="7">
        <v>3.7162091612751698E-2</v>
      </c>
      <c r="Z54">
        <v>0.60180265276434897</v>
      </c>
      <c r="AA54"/>
      <c r="AB54"/>
    </row>
    <row r="55" spans="1:28" x14ac:dyDescent="0.3">
      <c r="A55" s="1" t="s">
        <v>70</v>
      </c>
      <c r="B55" s="1" t="s">
        <v>368</v>
      </c>
      <c r="C55" s="2">
        <v>45476</v>
      </c>
      <c r="D55" s="2">
        <v>45399</v>
      </c>
      <c r="E55" s="1" t="s">
        <v>373</v>
      </c>
      <c r="F55" s="1" t="s">
        <v>381</v>
      </c>
      <c r="G55" s="1" t="s">
        <v>383</v>
      </c>
      <c r="H55" s="1" t="s">
        <v>387</v>
      </c>
      <c r="I55">
        <v>50727.69</v>
      </c>
      <c r="J55">
        <v>1828841</v>
      </c>
      <c r="K55">
        <v>15868</v>
      </c>
      <c r="L55">
        <v>1602</v>
      </c>
      <c r="M55">
        <v>183965.56</v>
      </c>
      <c r="N55" s="1" t="s">
        <v>389</v>
      </c>
      <c r="O55">
        <v>8</v>
      </c>
      <c r="P55" s="8">
        <v>8.6765333891792706E-3</v>
      </c>
      <c r="Q55" s="8">
        <v>0.10095790269725199</v>
      </c>
      <c r="R55" s="1">
        <v>31.665224719101126</v>
      </c>
      <c r="S55" s="3">
        <v>3.6265313874927085</v>
      </c>
      <c r="T55" s="1">
        <v>133237.87</v>
      </c>
      <c r="U55" s="2">
        <v>45506</v>
      </c>
      <c r="V55" s="10">
        <v>33.950000000000003</v>
      </c>
      <c r="W55">
        <v>30</v>
      </c>
      <c r="X55" s="3">
        <v>11.5934938240484</v>
      </c>
      <c r="Y55" s="7">
        <v>3.1580385387152458E-2</v>
      </c>
      <c r="Z55">
        <v>0.27574557977047398</v>
      </c>
      <c r="AA55"/>
      <c r="AB55"/>
    </row>
    <row r="56" spans="1:28" x14ac:dyDescent="0.3">
      <c r="A56" s="1" t="s">
        <v>71</v>
      </c>
      <c r="B56" s="1" t="s">
        <v>369</v>
      </c>
      <c r="C56" s="2">
        <v>45576</v>
      </c>
      <c r="D56" s="2">
        <v>45537</v>
      </c>
      <c r="E56" s="1" t="s">
        <v>377</v>
      </c>
      <c r="F56" s="1" t="s">
        <v>379</v>
      </c>
      <c r="G56" s="1" t="s">
        <v>383</v>
      </c>
      <c r="H56" s="1" t="s">
        <v>387</v>
      </c>
      <c r="I56">
        <v>6823.27</v>
      </c>
      <c r="J56">
        <v>638158</v>
      </c>
      <c r="K56">
        <v>25370</v>
      </c>
      <c r="L56">
        <v>932</v>
      </c>
      <c r="M56">
        <v>220635.28</v>
      </c>
      <c r="N56" s="1" t="s">
        <v>390</v>
      </c>
      <c r="O56">
        <v>4</v>
      </c>
      <c r="P56" s="8">
        <v>3.9755044988858602E-2</v>
      </c>
      <c r="Q56" s="8">
        <v>3.6736302719747697E-2</v>
      </c>
      <c r="R56" s="1">
        <v>7.321105150214593</v>
      </c>
      <c r="S56" s="3">
        <v>32.335710004147572</v>
      </c>
      <c r="T56" s="1">
        <v>213812.01</v>
      </c>
      <c r="U56" s="2">
        <v>45606</v>
      </c>
      <c r="V56" s="10">
        <v>68.62</v>
      </c>
      <c r="W56">
        <v>30</v>
      </c>
      <c r="X56" s="3">
        <v>8.6967000394166334</v>
      </c>
      <c r="Y56" s="7">
        <v>0.13659139972476539</v>
      </c>
      <c r="Z56">
        <v>3.0925561859372602E-2</v>
      </c>
      <c r="AA56"/>
      <c r="AB56"/>
    </row>
    <row r="57" spans="1:28" x14ac:dyDescent="0.3">
      <c r="A57" s="1" t="s">
        <v>72</v>
      </c>
      <c r="B57" s="1" t="s">
        <v>371</v>
      </c>
      <c r="C57" s="2">
        <v>45511</v>
      </c>
      <c r="D57" s="2">
        <v>45475</v>
      </c>
      <c r="E57" s="1" t="s">
        <v>374</v>
      </c>
      <c r="F57" s="1" t="s">
        <v>380</v>
      </c>
      <c r="G57" s="1" t="s">
        <v>385</v>
      </c>
      <c r="H57" s="1" t="s">
        <v>386</v>
      </c>
      <c r="I57">
        <v>29682.25</v>
      </c>
      <c r="J57">
        <v>583571</v>
      </c>
      <c r="K57">
        <v>43533</v>
      </c>
      <c r="L57">
        <v>196</v>
      </c>
      <c r="M57">
        <v>19997.64</v>
      </c>
      <c r="N57" s="1" t="s">
        <v>391</v>
      </c>
      <c r="O57">
        <v>8</v>
      </c>
      <c r="P57" s="8">
        <v>7.4597606803627994E-2</v>
      </c>
      <c r="Q57" s="8">
        <v>4.5023315645602198E-3</v>
      </c>
      <c r="R57" s="1">
        <v>151.44005102040816</v>
      </c>
      <c r="S57" s="3">
        <v>0.67372385853498296</v>
      </c>
      <c r="T57" s="1">
        <v>-9684.61</v>
      </c>
      <c r="U57" s="2">
        <v>45541</v>
      </c>
      <c r="V57" s="10">
        <v>37.97</v>
      </c>
      <c r="W57">
        <v>30</v>
      </c>
      <c r="X57" s="3">
        <v>0.45936737647302045</v>
      </c>
      <c r="Y57" s="7">
        <v>6.6032729998568166E-3</v>
      </c>
      <c r="Z57">
        <v>1.4842876459422201</v>
      </c>
      <c r="AA57"/>
      <c r="AB57"/>
    </row>
    <row r="58" spans="1:28" x14ac:dyDescent="0.3">
      <c r="A58" s="1" t="s">
        <v>73</v>
      </c>
      <c r="B58" s="1" t="s">
        <v>367</v>
      </c>
      <c r="C58" s="2">
        <v>45360</v>
      </c>
      <c r="D58" s="2">
        <v>45335</v>
      </c>
      <c r="E58" s="1" t="s">
        <v>376</v>
      </c>
      <c r="F58" s="1" t="s">
        <v>381</v>
      </c>
      <c r="G58" s="1" t="s">
        <v>385</v>
      </c>
      <c r="H58" s="1" t="s">
        <v>386</v>
      </c>
      <c r="I58">
        <v>77227.53</v>
      </c>
      <c r="J58">
        <v>1784509</v>
      </c>
      <c r="K58">
        <v>31483</v>
      </c>
      <c r="L58">
        <v>715</v>
      </c>
      <c r="M58">
        <v>105435.42</v>
      </c>
      <c r="N58" s="1" t="s">
        <v>391</v>
      </c>
      <c r="O58">
        <v>8</v>
      </c>
      <c r="P58" s="8">
        <v>1.7642387906141099E-2</v>
      </c>
      <c r="Q58" s="8">
        <v>2.2710669250071501E-2</v>
      </c>
      <c r="R58" s="1">
        <v>108.01053146853147</v>
      </c>
      <c r="S58" s="3">
        <v>1.3652569232759355</v>
      </c>
      <c r="T58" s="1">
        <v>28207.89</v>
      </c>
      <c r="U58" s="2">
        <v>45390</v>
      </c>
      <c r="V58" s="10">
        <v>44.15</v>
      </c>
      <c r="W58">
        <v>30</v>
      </c>
      <c r="X58" s="3">
        <v>3.3489635676396783</v>
      </c>
      <c r="Y58" s="7">
        <v>9.2583564436153794E-3</v>
      </c>
      <c r="Z58">
        <v>0.73246286684303996</v>
      </c>
      <c r="AA58"/>
      <c r="AB58"/>
    </row>
    <row r="59" spans="1:28" x14ac:dyDescent="0.3">
      <c r="A59" s="1" t="s">
        <v>74</v>
      </c>
      <c r="B59" s="1" t="s">
        <v>370</v>
      </c>
      <c r="C59" s="2">
        <v>45338</v>
      </c>
      <c r="D59" s="2">
        <v>45508</v>
      </c>
      <c r="E59" s="1" t="s">
        <v>373</v>
      </c>
      <c r="F59" s="1" t="s">
        <v>380</v>
      </c>
      <c r="G59" s="1" t="s">
        <v>385</v>
      </c>
      <c r="H59" s="1" t="s">
        <v>386</v>
      </c>
      <c r="I59">
        <v>18025.419999999998</v>
      </c>
      <c r="J59">
        <v>915139</v>
      </c>
      <c r="K59">
        <v>13466</v>
      </c>
      <c r="L59">
        <v>1377</v>
      </c>
      <c r="M59">
        <v>192954.17</v>
      </c>
      <c r="N59" s="1" t="s">
        <v>391</v>
      </c>
      <c r="O59">
        <v>8</v>
      </c>
      <c r="P59" s="8">
        <v>1.4714704542151499E-2</v>
      </c>
      <c r="Q59" s="8">
        <v>0.102257537501857</v>
      </c>
      <c r="R59" s="1">
        <v>13.090355846042119</v>
      </c>
      <c r="S59" s="3">
        <v>10.704558895160281</v>
      </c>
      <c r="T59" s="1">
        <v>174928.75</v>
      </c>
      <c r="U59" s="2">
        <v>45508</v>
      </c>
      <c r="V59" s="10">
        <v>63.86</v>
      </c>
      <c r="W59">
        <v>170</v>
      </c>
      <c r="X59" s="3">
        <v>14.328989306401308</v>
      </c>
      <c r="Y59" s="7">
        <v>7.6392117354269706E-2</v>
      </c>
      <c r="Z59">
        <v>9.3418141727644399E-2</v>
      </c>
      <c r="AA59"/>
      <c r="AB59"/>
    </row>
    <row r="60" spans="1:28" x14ac:dyDescent="0.3">
      <c r="A60" s="1" t="s">
        <v>75</v>
      </c>
      <c r="B60" s="1" t="s">
        <v>367</v>
      </c>
      <c r="C60" s="2">
        <v>45385</v>
      </c>
      <c r="D60" s="2">
        <v>45328</v>
      </c>
      <c r="E60" s="1" t="s">
        <v>374</v>
      </c>
      <c r="F60" s="1" t="s">
        <v>378</v>
      </c>
      <c r="G60" s="1" t="s">
        <v>382</v>
      </c>
      <c r="H60" s="1" t="s">
        <v>386</v>
      </c>
      <c r="I60">
        <v>55854.46</v>
      </c>
      <c r="J60">
        <v>1522725</v>
      </c>
      <c r="K60">
        <v>29803</v>
      </c>
      <c r="L60">
        <v>669</v>
      </c>
      <c r="M60">
        <v>119180.53</v>
      </c>
      <c r="N60" s="1" t="s">
        <v>390</v>
      </c>
      <c r="O60">
        <v>5</v>
      </c>
      <c r="P60" s="8">
        <v>1.9572148615147202E-2</v>
      </c>
      <c r="Q60" s="8">
        <v>2.2447404623695599E-2</v>
      </c>
      <c r="R60" s="1">
        <v>83.489476831091181</v>
      </c>
      <c r="S60" s="3">
        <v>2.1337692639047985</v>
      </c>
      <c r="T60" s="1">
        <v>63326.07</v>
      </c>
      <c r="U60" s="2">
        <v>45415</v>
      </c>
      <c r="V60" s="10">
        <v>44.5</v>
      </c>
      <c r="W60">
        <v>30</v>
      </c>
      <c r="X60" s="3">
        <v>3.9989440660336206</v>
      </c>
      <c r="Y60" s="7">
        <v>1.1977557387538971E-2</v>
      </c>
      <c r="Z60">
        <v>0.46865423404309398</v>
      </c>
      <c r="AA60"/>
      <c r="AB60"/>
    </row>
    <row r="61" spans="1:28" x14ac:dyDescent="0.3">
      <c r="A61" s="1" t="s">
        <v>76</v>
      </c>
      <c r="B61" s="1" t="s">
        <v>370</v>
      </c>
      <c r="C61" s="2">
        <v>45529</v>
      </c>
      <c r="D61" s="2">
        <v>45324</v>
      </c>
      <c r="E61" s="1" t="s">
        <v>377</v>
      </c>
      <c r="F61" s="1" t="s">
        <v>378</v>
      </c>
      <c r="G61" s="1" t="s">
        <v>384</v>
      </c>
      <c r="H61" s="1" t="s">
        <v>386</v>
      </c>
      <c r="I61">
        <v>25444.18</v>
      </c>
      <c r="J61">
        <v>1628638</v>
      </c>
      <c r="K61">
        <v>19230</v>
      </c>
      <c r="L61">
        <v>1821</v>
      </c>
      <c r="M61">
        <v>74140.63</v>
      </c>
      <c r="N61" s="1" t="s">
        <v>391</v>
      </c>
      <c r="O61">
        <v>4</v>
      </c>
      <c r="P61" s="8">
        <v>1.18074120829798E-2</v>
      </c>
      <c r="Q61" s="8">
        <v>9.4695787831513306E-2</v>
      </c>
      <c r="R61" s="1">
        <v>13.972641405820978</v>
      </c>
      <c r="S61" s="3">
        <v>2.9138541701874456</v>
      </c>
      <c r="T61" s="1">
        <v>48696.450000000004</v>
      </c>
      <c r="U61" s="2">
        <v>45559</v>
      </c>
      <c r="V61" s="10">
        <v>58.97</v>
      </c>
      <c r="W61">
        <v>30</v>
      </c>
      <c r="X61" s="3">
        <v>3.8554669786791473</v>
      </c>
      <c r="Y61" s="7">
        <v>7.1568429401143996E-2</v>
      </c>
      <c r="Z61">
        <v>0.34318807379975003</v>
      </c>
      <c r="AA61"/>
      <c r="AB61"/>
    </row>
    <row r="62" spans="1:28" x14ac:dyDescent="0.3">
      <c r="A62" s="1" t="s">
        <v>77</v>
      </c>
      <c r="B62" s="1" t="s">
        <v>370</v>
      </c>
      <c r="C62" s="2">
        <v>45495</v>
      </c>
      <c r="D62" s="2">
        <v>45432</v>
      </c>
      <c r="E62" s="1" t="s">
        <v>374</v>
      </c>
      <c r="F62" s="1" t="s">
        <v>381</v>
      </c>
      <c r="G62" s="1" t="s">
        <v>383</v>
      </c>
      <c r="H62" s="1" t="s">
        <v>388</v>
      </c>
      <c r="I62">
        <v>6151.47</v>
      </c>
      <c r="J62">
        <v>1301703</v>
      </c>
      <c r="K62">
        <v>18862</v>
      </c>
      <c r="L62">
        <v>869</v>
      </c>
      <c r="M62">
        <v>62753.279999999999</v>
      </c>
      <c r="N62" s="1" t="s">
        <v>391</v>
      </c>
      <c r="O62">
        <v>8</v>
      </c>
      <c r="P62" s="8">
        <v>1.44902485436386E-2</v>
      </c>
      <c r="Q62" s="8">
        <v>4.6071466440462297E-2</v>
      </c>
      <c r="R62" s="1">
        <v>7.0787917146144999</v>
      </c>
      <c r="S62" s="3">
        <v>10.201346995108485</v>
      </c>
      <c r="T62" s="1">
        <v>56601.81</v>
      </c>
      <c r="U62" s="2">
        <v>45525</v>
      </c>
      <c r="V62" s="10">
        <v>45.39</v>
      </c>
      <c r="W62">
        <v>30</v>
      </c>
      <c r="X62" s="3">
        <v>3.326968508111547</v>
      </c>
      <c r="Y62" s="7">
        <v>0.14126704673842186</v>
      </c>
      <c r="Z62">
        <v>9.8026270499326898E-2</v>
      </c>
      <c r="AA62"/>
      <c r="AB62"/>
    </row>
    <row r="63" spans="1:28" x14ac:dyDescent="0.3">
      <c r="A63" s="1" t="s">
        <v>78</v>
      </c>
      <c r="B63" s="1" t="s">
        <v>367</v>
      </c>
      <c r="C63" s="2">
        <v>45509</v>
      </c>
      <c r="D63" s="2">
        <v>45559</v>
      </c>
      <c r="E63" s="1" t="s">
        <v>376</v>
      </c>
      <c r="F63" s="1" t="s">
        <v>378</v>
      </c>
      <c r="G63" s="1" t="s">
        <v>383</v>
      </c>
      <c r="H63" s="1" t="s">
        <v>387</v>
      </c>
      <c r="I63">
        <v>27914.14</v>
      </c>
      <c r="J63">
        <v>1240631</v>
      </c>
      <c r="K63">
        <v>44355</v>
      </c>
      <c r="L63">
        <v>913</v>
      </c>
      <c r="M63">
        <v>41564.379999999997</v>
      </c>
      <c r="N63" s="1" t="s">
        <v>390</v>
      </c>
      <c r="O63">
        <v>8</v>
      </c>
      <c r="P63" s="8">
        <v>3.57519681516906E-2</v>
      </c>
      <c r="Q63" s="8">
        <v>2.0583925149363101E-2</v>
      </c>
      <c r="R63" s="1">
        <v>30.574085432639649</v>
      </c>
      <c r="S63" s="3">
        <v>1.4890080797760561</v>
      </c>
      <c r="T63" s="1">
        <v>13650.239999999998</v>
      </c>
      <c r="U63" s="2">
        <v>45559</v>
      </c>
      <c r="V63" s="10">
        <v>68.17</v>
      </c>
      <c r="W63">
        <v>50</v>
      </c>
      <c r="X63" s="3">
        <v>0.93708443242024564</v>
      </c>
      <c r="Y63" s="7">
        <v>3.2707437879153721E-2</v>
      </c>
      <c r="Z63">
        <v>0.67158802801822104</v>
      </c>
      <c r="AA63"/>
      <c r="AB63"/>
    </row>
    <row r="64" spans="1:28" x14ac:dyDescent="0.3">
      <c r="A64" s="1" t="s">
        <v>79</v>
      </c>
      <c r="B64" s="1" t="s">
        <v>368</v>
      </c>
      <c r="C64" s="2">
        <v>45330</v>
      </c>
      <c r="D64" s="2">
        <v>45560</v>
      </c>
      <c r="E64" s="1" t="s">
        <v>372</v>
      </c>
      <c r="F64" s="1" t="s">
        <v>380</v>
      </c>
      <c r="G64" s="1" t="s">
        <v>385</v>
      </c>
      <c r="H64" s="1" t="s">
        <v>388</v>
      </c>
      <c r="I64">
        <v>97708.01</v>
      </c>
      <c r="J64">
        <v>1719332</v>
      </c>
      <c r="K64">
        <v>32259</v>
      </c>
      <c r="L64">
        <v>631</v>
      </c>
      <c r="M64">
        <v>215711.09</v>
      </c>
      <c r="N64" s="1" t="s">
        <v>389</v>
      </c>
      <c r="O64">
        <v>5</v>
      </c>
      <c r="P64" s="8">
        <v>1.87625193970682E-2</v>
      </c>
      <c r="Q64" s="8">
        <v>1.9560432747450299E-2</v>
      </c>
      <c r="R64" s="1">
        <v>154.84629160063392</v>
      </c>
      <c r="S64" s="3">
        <v>2.2077114250919654</v>
      </c>
      <c r="T64" s="1">
        <v>118003.08</v>
      </c>
      <c r="U64" s="2">
        <v>45560</v>
      </c>
      <c r="V64" s="10">
        <v>65.88</v>
      </c>
      <c r="W64">
        <v>230</v>
      </c>
      <c r="X64" s="3">
        <v>6.686849871353731</v>
      </c>
      <c r="Y64" s="7">
        <v>6.4580171062740919E-3</v>
      </c>
      <c r="Z64">
        <v>0.45295775010918499</v>
      </c>
      <c r="AA64"/>
      <c r="AB64"/>
    </row>
    <row r="65" spans="1:28" x14ac:dyDescent="0.3">
      <c r="A65" s="1" t="s">
        <v>80</v>
      </c>
      <c r="B65" s="1" t="s">
        <v>370</v>
      </c>
      <c r="C65" s="2">
        <v>45391</v>
      </c>
      <c r="D65" s="2">
        <v>45595</v>
      </c>
      <c r="E65" s="1" t="s">
        <v>374</v>
      </c>
      <c r="F65" s="1" t="s">
        <v>379</v>
      </c>
      <c r="G65" s="1" t="s">
        <v>383</v>
      </c>
      <c r="H65" s="1" t="s">
        <v>386</v>
      </c>
      <c r="I65">
        <v>81146.03</v>
      </c>
      <c r="J65">
        <v>1981342</v>
      </c>
      <c r="K65">
        <v>34539</v>
      </c>
      <c r="L65">
        <v>1072</v>
      </c>
      <c r="M65">
        <v>148085.29999999999</v>
      </c>
      <c r="N65" s="1" t="s">
        <v>389</v>
      </c>
      <c r="O65">
        <v>4</v>
      </c>
      <c r="P65" s="8">
        <v>1.7432124287477899E-2</v>
      </c>
      <c r="Q65" s="8">
        <v>3.1037378036422598E-2</v>
      </c>
      <c r="R65" s="1">
        <v>75.69592350746268</v>
      </c>
      <c r="S65" s="3">
        <v>1.8249235360004672</v>
      </c>
      <c r="T65" s="1">
        <v>66939.26999999999</v>
      </c>
      <c r="U65" s="2">
        <v>45595</v>
      </c>
      <c r="V65" s="10">
        <v>71.94</v>
      </c>
      <c r="W65">
        <v>204</v>
      </c>
      <c r="X65" s="3">
        <v>4.2874808187845623</v>
      </c>
      <c r="Y65" s="7">
        <v>1.3210751037358205E-2</v>
      </c>
      <c r="Z65">
        <v>0.54796816429449802</v>
      </c>
      <c r="AA65"/>
      <c r="AB65"/>
    </row>
    <row r="66" spans="1:28" x14ac:dyDescent="0.3">
      <c r="A66" s="1" t="s">
        <v>81</v>
      </c>
      <c r="B66" s="1" t="s">
        <v>370</v>
      </c>
      <c r="C66" s="2">
        <v>45580</v>
      </c>
      <c r="D66" s="2">
        <v>45615</v>
      </c>
      <c r="E66" s="1" t="s">
        <v>374</v>
      </c>
      <c r="F66" s="1" t="s">
        <v>379</v>
      </c>
      <c r="G66" s="1" t="s">
        <v>383</v>
      </c>
      <c r="H66" s="1" t="s">
        <v>386</v>
      </c>
      <c r="I66">
        <v>96159.78</v>
      </c>
      <c r="J66">
        <v>854565</v>
      </c>
      <c r="K66">
        <v>22909</v>
      </c>
      <c r="L66">
        <v>744</v>
      </c>
      <c r="M66">
        <v>28332.39</v>
      </c>
      <c r="N66" s="1" t="s">
        <v>390</v>
      </c>
      <c r="O66">
        <v>6</v>
      </c>
      <c r="P66" s="8">
        <v>2.6807791098395099E-2</v>
      </c>
      <c r="Q66" s="8">
        <v>3.2476319350473598E-2</v>
      </c>
      <c r="R66" s="1">
        <v>129.24701612903226</v>
      </c>
      <c r="S66" s="3">
        <v>0.29463867325819587</v>
      </c>
      <c r="T66" s="1">
        <v>-67827.39</v>
      </c>
      <c r="U66" s="2">
        <v>45615</v>
      </c>
      <c r="V66" s="10">
        <v>67.19</v>
      </c>
      <c r="W66">
        <v>35</v>
      </c>
      <c r="X66" s="3">
        <v>1.2367362172072112</v>
      </c>
      <c r="Y66" s="7">
        <v>7.7371225266946331E-3</v>
      </c>
      <c r="Z66">
        <v>3.3939875880573398</v>
      </c>
      <c r="AA66"/>
      <c r="AB66"/>
    </row>
    <row r="67" spans="1:28" x14ac:dyDescent="0.3">
      <c r="A67" s="1" t="s">
        <v>82</v>
      </c>
      <c r="B67" s="1" t="s">
        <v>367</v>
      </c>
      <c r="C67" s="2">
        <v>45545</v>
      </c>
      <c r="D67" s="2">
        <v>45548</v>
      </c>
      <c r="E67" s="1" t="s">
        <v>377</v>
      </c>
      <c r="F67" s="1" t="s">
        <v>379</v>
      </c>
      <c r="G67" s="1" t="s">
        <v>384</v>
      </c>
      <c r="H67" s="1" t="s">
        <v>386</v>
      </c>
      <c r="I67">
        <v>51346.13</v>
      </c>
      <c r="J67">
        <v>575069</v>
      </c>
      <c r="K67">
        <v>31795</v>
      </c>
      <c r="L67">
        <v>1835</v>
      </c>
      <c r="M67">
        <v>101819.28</v>
      </c>
      <c r="N67" s="1" t="s">
        <v>391</v>
      </c>
      <c r="O67">
        <v>5</v>
      </c>
      <c r="P67" s="8">
        <v>5.5289017491814002E-2</v>
      </c>
      <c r="Q67" s="8">
        <v>5.77134769617864E-2</v>
      </c>
      <c r="R67" s="1">
        <v>27.981542234332423</v>
      </c>
      <c r="S67" s="3">
        <v>1.9829981344261001</v>
      </c>
      <c r="T67" s="1">
        <v>50473.15</v>
      </c>
      <c r="U67" s="2">
        <v>45548</v>
      </c>
      <c r="V67" s="10">
        <v>26.62</v>
      </c>
      <c r="W67">
        <v>3</v>
      </c>
      <c r="X67" s="3">
        <v>3.202367667872307</v>
      </c>
      <c r="Y67" s="7">
        <v>3.5737844312706726E-2</v>
      </c>
      <c r="Z67">
        <v>0.50428690911976604</v>
      </c>
      <c r="AA67"/>
      <c r="AB67"/>
    </row>
    <row r="68" spans="1:28" x14ac:dyDescent="0.3">
      <c r="A68" s="1" t="s">
        <v>83</v>
      </c>
      <c r="B68" s="1" t="s">
        <v>370</v>
      </c>
      <c r="C68" s="2">
        <v>45513</v>
      </c>
      <c r="D68" s="2">
        <v>45336</v>
      </c>
      <c r="E68" s="1" t="s">
        <v>377</v>
      </c>
      <c r="F68" s="1" t="s">
        <v>381</v>
      </c>
      <c r="G68" s="1" t="s">
        <v>385</v>
      </c>
      <c r="H68" s="1" t="s">
        <v>388</v>
      </c>
      <c r="I68">
        <v>15424.94</v>
      </c>
      <c r="J68">
        <v>164586</v>
      </c>
      <c r="K68">
        <v>9770</v>
      </c>
      <c r="L68">
        <v>1301</v>
      </c>
      <c r="M68">
        <v>98256.08</v>
      </c>
      <c r="N68" s="1" t="s">
        <v>390</v>
      </c>
      <c r="O68">
        <v>4</v>
      </c>
      <c r="P68" s="8">
        <v>5.9361063516945603E-2</v>
      </c>
      <c r="Q68" s="8">
        <v>0.13316274309109499</v>
      </c>
      <c r="R68" s="1">
        <v>11.856218293620293</v>
      </c>
      <c r="S68" s="3">
        <v>6.3699489268677869</v>
      </c>
      <c r="T68" s="1">
        <v>82831.14</v>
      </c>
      <c r="U68" s="2">
        <v>45543</v>
      </c>
      <c r="V68" s="10">
        <v>24.76</v>
      </c>
      <c r="W68">
        <v>30</v>
      </c>
      <c r="X68" s="3">
        <v>10.056917093142273</v>
      </c>
      <c r="Y68" s="7">
        <v>8.4343926135207012E-2</v>
      </c>
      <c r="Z68">
        <v>0.15698712995674199</v>
      </c>
      <c r="AA68"/>
      <c r="AB68"/>
    </row>
    <row r="69" spans="1:28" x14ac:dyDescent="0.3">
      <c r="A69" s="1" t="s">
        <v>84</v>
      </c>
      <c r="B69" s="1" t="s">
        <v>370</v>
      </c>
      <c r="C69" s="2">
        <v>45314</v>
      </c>
      <c r="D69" s="2">
        <v>45513</v>
      </c>
      <c r="E69" s="1" t="s">
        <v>373</v>
      </c>
      <c r="F69" s="1" t="s">
        <v>378</v>
      </c>
      <c r="G69" s="1" t="s">
        <v>384</v>
      </c>
      <c r="H69" s="1" t="s">
        <v>388</v>
      </c>
      <c r="I69">
        <v>57056.15</v>
      </c>
      <c r="J69">
        <v>1548492</v>
      </c>
      <c r="K69">
        <v>12093</v>
      </c>
      <c r="L69">
        <v>1175</v>
      </c>
      <c r="M69">
        <v>53617.41</v>
      </c>
      <c r="N69" s="1" t="s">
        <v>389</v>
      </c>
      <c r="O69">
        <v>8</v>
      </c>
      <c r="P69" s="8">
        <v>7.8095334041118703E-3</v>
      </c>
      <c r="Q69" s="8">
        <v>9.7163648391631496E-2</v>
      </c>
      <c r="R69" s="1">
        <v>48.558425531914892</v>
      </c>
      <c r="S69" s="3">
        <v>0.93973059871722864</v>
      </c>
      <c r="T69" s="1">
        <v>-3438.739999999998</v>
      </c>
      <c r="U69" s="2">
        <v>45513</v>
      </c>
      <c r="V69" s="10">
        <v>70.53</v>
      </c>
      <c r="W69">
        <v>199</v>
      </c>
      <c r="X69" s="3">
        <v>4.4337558918382536</v>
      </c>
      <c r="Y69" s="7">
        <v>2.0593748439037683E-2</v>
      </c>
      <c r="Z69">
        <v>1.0641347651816799</v>
      </c>
      <c r="AA69"/>
      <c r="AB69"/>
    </row>
    <row r="70" spans="1:28" x14ac:dyDescent="0.3">
      <c r="A70" s="1" t="s">
        <v>85</v>
      </c>
      <c r="B70" s="1" t="s">
        <v>367</v>
      </c>
      <c r="C70" s="2">
        <v>45541</v>
      </c>
      <c r="D70" s="2">
        <v>45440</v>
      </c>
      <c r="E70" s="1" t="s">
        <v>377</v>
      </c>
      <c r="F70" s="1" t="s">
        <v>380</v>
      </c>
      <c r="G70" s="1" t="s">
        <v>382</v>
      </c>
      <c r="H70" s="1" t="s">
        <v>386</v>
      </c>
      <c r="I70">
        <v>48165.85</v>
      </c>
      <c r="J70">
        <v>339768</v>
      </c>
      <c r="K70">
        <v>47571</v>
      </c>
      <c r="L70">
        <v>1660</v>
      </c>
      <c r="M70">
        <v>114521.83</v>
      </c>
      <c r="N70" s="1" t="s">
        <v>389</v>
      </c>
      <c r="O70">
        <v>4</v>
      </c>
      <c r="P70" s="8">
        <v>0.14001024228296999</v>
      </c>
      <c r="Q70" s="8">
        <v>3.4895209266149502E-2</v>
      </c>
      <c r="R70" s="1">
        <v>29.015572289156626</v>
      </c>
      <c r="S70" s="3">
        <v>2.3776561609522102</v>
      </c>
      <c r="T70" s="1">
        <v>66355.98000000001</v>
      </c>
      <c r="U70" s="2">
        <v>45571</v>
      </c>
      <c r="V70" s="10">
        <v>75.48</v>
      </c>
      <c r="W70">
        <v>30</v>
      </c>
      <c r="X70" s="3">
        <v>2.407387483971327</v>
      </c>
      <c r="Y70" s="7">
        <v>3.4464252162060879E-2</v>
      </c>
      <c r="Z70">
        <v>0.42058225929501802</v>
      </c>
      <c r="AA70"/>
      <c r="AB70"/>
    </row>
    <row r="71" spans="1:28" x14ac:dyDescent="0.3">
      <c r="A71" s="1" t="s">
        <v>86</v>
      </c>
      <c r="B71" s="1" t="s">
        <v>367</v>
      </c>
      <c r="C71" s="2">
        <v>45301</v>
      </c>
      <c r="D71" s="2">
        <v>45349</v>
      </c>
      <c r="E71" s="1" t="s">
        <v>375</v>
      </c>
      <c r="F71" s="1" t="s">
        <v>378</v>
      </c>
      <c r="G71" s="1" t="s">
        <v>382</v>
      </c>
      <c r="H71" s="1" t="s">
        <v>388</v>
      </c>
      <c r="I71">
        <v>85213.92</v>
      </c>
      <c r="J71">
        <v>581111</v>
      </c>
      <c r="K71">
        <v>1193</v>
      </c>
      <c r="L71">
        <v>1000</v>
      </c>
      <c r="M71">
        <v>89703.85</v>
      </c>
      <c r="N71" s="1" t="s">
        <v>390</v>
      </c>
      <c r="O71">
        <v>4</v>
      </c>
      <c r="P71" s="8">
        <v>2.0529640636642601E-3</v>
      </c>
      <c r="Q71" s="8">
        <v>0.83822296730930401</v>
      </c>
      <c r="R71" s="1">
        <v>85.213920000000002</v>
      </c>
      <c r="S71" s="3">
        <v>1.0526901003967428</v>
      </c>
      <c r="T71" s="1">
        <v>4489.9300000000076</v>
      </c>
      <c r="U71" s="2">
        <v>45349</v>
      </c>
      <c r="V71" s="10">
        <v>14.33</v>
      </c>
      <c r="W71">
        <v>48</v>
      </c>
      <c r="X71" s="3">
        <v>75.191827326068733</v>
      </c>
      <c r="Y71" s="7">
        <v>1.1735171906186219E-2</v>
      </c>
      <c r="Z71">
        <v>0.94994718732808003</v>
      </c>
      <c r="AA71"/>
      <c r="AB71"/>
    </row>
    <row r="72" spans="1:28" x14ac:dyDescent="0.3">
      <c r="A72" s="1" t="s">
        <v>87</v>
      </c>
      <c r="B72" s="1" t="s">
        <v>371</v>
      </c>
      <c r="C72" s="2">
        <v>45537</v>
      </c>
      <c r="D72" s="2">
        <v>45523</v>
      </c>
      <c r="E72" s="1" t="s">
        <v>376</v>
      </c>
      <c r="F72" s="1" t="s">
        <v>378</v>
      </c>
      <c r="G72" s="1" t="s">
        <v>382</v>
      </c>
      <c r="H72" s="1" t="s">
        <v>388</v>
      </c>
      <c r="I72">
        <v>14317.85</v>
      </c>
      <c r="J72">
        <v>592777</v>
      </c>
      <c r="K72">
        <v>35775</v>
      </c>
      <c r="L72">
        <v>1289</v>
      </c>
      <c r="M72">
        <v>92032.89</v>
      </c>
      <c r="N72" s="1" t="s">
        <v>390</v>
      </c>
      <c r="O72">
        <v>9</v>
      </c>
      <c r="P72" s="8">
        <v>6.0351531857680003E-2</v>
      </c>
      <c r="Q72" s="8">
        <v>3.6030747728860897E-2</v>
      </c>
      <c r="R72" s="1">
        <v>11.107719162141194</v>
      </c>
      <c r="S72" s="3">
        <v>6.4278428674696269</v>
      </c>
      <c r="T72" s="1">
        <v>77715.039999999994</v>
      </c>
      <c r="U72" s="2">
        <v>45567</v>
      </c>
      <c r="V72" s="10">
        <v>14.37</v>
      </c>
      <c r="W72">
        <v>30</v>
      </c>
      <c r="X72" s="3">
        <v>2.5725475890985323</v>
      </c>
      <c r="Y72" s="7">
        <v>9.0027483176594245E-2</v>
      </c>
      <c r="Z72">
        <v>0.155573186933497</v>
      </c>
      <c r="AA72"/>
      <c r="AB72"/>
    </row>
    <row r="73" spans="1:28" x14ac:dyDescent="0.3">
      <c r="A73" s="1" t="s">
        <v>88</v>
      </c>
      <c r="B73" s="1" t="s">
        <v>368</v>
      </c>
      <c r="C73" s="2">
        <v>45391</v>
      </c>
      <c r="D73" s="2">
        <v>45360</v>
      </c>
      <c r="E73" s="1" t="s">
        <v>376</v>
      </c>
      <c r="F73" s="1" t="s">
        <v>378</v>
      </c>
      <c r="G73" s="1" t="s">
        <v>385</v>
      </c>
      <c r="H73" s="1" t="s">
        <v>386</v>
      </c>
      <c r="I73">
        <v>51382.91</v>
      </c>
      <c r="J73">
        <v>1086059</v>
      </c>
      <c r="K73">
        <v>18569</v>
      </c>
      <c r="L73">
        <v>456</v>
      </c>
      <c r="M73">
        <v>187366.37</v>
      </c>
      <c r="N73" s="1" t="s">
        <v>389</v>
      </c>
      <c r="O73">
        <v>4</v>
      </c>
      <c r="P73" s="8">
        <v>1.7097597828478899E-2</v>
      </c>
      <c r="Q73" s="8">
        <v>2.4557057461360301E-2</v>
      </c>
      <c r="R73" s="1">
        <v>112.6818201754386</v>
      </c>
      <c r="S73" s="3">
        <v>3.6464725333773425</v>
      </c>
      <c r="T73" s="1">
        <v>135983.46</v>
      </c>
      <c r="U73" s="2">
        <v>45421</v>
      </c>
      <c r="V73" s="10">
        <v>11.34</v>
      </c>
      <c r="W73">
        <v>30</v>
      </c>
      <c r="X73" s="3">
        <v>10.090277882492325</v>
      </c>
      <c r="Y73" s="7">
        <v>8.8745460309663272E-3</v>
      </c>
      <c r="Z73">
        <v>0.27423763400016798</v>
      </c>
      <c r="AA73"/>
      <c r="AB73"/>
    </row>
    <row r="74" spans="1:28" x14ac:dyDescent="0.3">
      <c r="A74" s="1" t="s">
        <v>89</v>
      </c>
      <c r="B74" s="1" t="s">
        <v>368</v>
      </c>
      <c r="C74" s="2">
        <v>45581</v>
      </c>
      <c r="D74" s="2">
        <v>45594</v>
      </c>
      <c r="E74" s="1" t="s">
        <v>372</v>
      </c>
      <c r="F74" s="1" t="s">
        <v>379</v>
      </c>
      <c r="G74" s="1" t="s">
        <v>383</v>
      </c>
      <c r="H74" s="1" t="s">
        <v>388</v>
      </c>
      <c r="I74">
        <v>19254.62</v>
      </c>
      <c r="J74">
        <v>221033</v>
      </c>
      <c r="K74">
        <v>12190</v>
      </c>
      <c r="L74">
        <v>448</v>
      </c>
      <c r="M74">
        <v>63583.21</v>
      </c>
      <c r="N74" s="1" t="s">
        <v>390</v>
      </c>
      <c r="O74">
        <v>6</v>
      </c>
      <c r="P74" s="8">
        <v>5.5150135952550097E-2</v>
      </c>
      <c r="Q74" s="8">
        <v>3.67514356029532E-2</v>
      </c>
      <c r="R74" s="1">
        <v>42.979062499999998</v>
      </c>
      <c r="S74" s="3">
        <v>3.3022313605773577</v>
      </c>
      <c r="T74" s="1">
        <v>44328.59</v>
      </c>
      <c r="U74" s="2">
        <v>45594</v>
      </c>
      <c r="V74" s="10">
        <v>55.13</v>
      </c>
      <c r="W74">
        <v>13</v>
      </c>
      <c r="X74" s="3">
        <v>5.2160139458572603</v>
      </c>
      <c r="Y74" s="7">
        <v>2.3267143158369266E-2</v>
      </c>
      <c r="Z74">
        <v>0.30282554152267599</v>
      </c>
      <c r="AA74"/>
      <c r="AB74"/>
    </row>
    <row r="75" spans="1:28" x14ac:dyDescent="0.3">
      <c r="A75" s="1" t="s">
        <v>90</v>
      </c>
      <c r="B75" s="1" t="s">
        <v>370</v>
      </c>
      <c r="C75" s="2">
        <v>45471</v>
      </c>
      <c r="D75" s="2">
        <v>45552</v>
      </c>
      <c r="E75" s="1" t="s">
        <v>372</v>
      </c>
      <c r="F75" s="1" t="s">
        <v>380</v>
      </c>
      <c r="G75" s="1" t="s">
        <v>385</v>
      </c>
      <c r="H75" s="1" t="s">
        <v>387</v>
      </c>
      <c r="I75">
        <v>35844.21</v>
      </c>
      <c r="J75">
        <v>1611456</v>
      </c>
      <c r="K75">
        <v>43752</v>
      </c>
      <c r="L75">
        <v>1996</v>
      </c>
      <c r="M75">
        <v>164046.39000000001</v>
      </c>
      <c r="N75" s="1" t="s">
        <v>389</v>
      </c>
      <c r="O75">
        <v>4</v>
      </c>
      <c r="P75" s="8">
        <v>2.71506016918861E-2</v>
      </c>
      <c r="Q75" s="8">
        <v>4.56207716218687E-2</v>
      </c>
      <c r="R75" s="1">
        <v>17.958021042084169</v>
      </c>
      <c r="S75" s="3">
        <v>4.5766496178880782</v>
      </c>
      <c r="T75" s="1">
        <v>128202.18000000002</v>
      </c>
      <c r="U75" s="2">
        <v>45552</v>
      </c>
      <c r="V75" s="10">
        <v>53.91</v>
      </c>
      <c r="W75">
        <v>81</v>
      </c>
      <c r="X75" s="3">
        <v>3.7494603675260563</v>
      </c>
      <c r="Y75" s="7">
        <v>5.5685423112965808E-2</v>
      </c>
      <c r="Z75">
        <v>0.218500449781309</v>
      </c>
      <c r="AA75"/>
      <c r="AB75"/>
    </row>
    <row r="76" spans="1:28" x14ac:dyDescent="0.3">
      <c r="A76" s="1" t="s">
        <v>91</v>
      </c>
      <c r="B76" s="1" t="s">
        <v>368</v>
      </c>
      <c r="C76" s="2">
        <v>45514</v>
      </c>
      <c r="D76" s="2">
        <v>45407</v>
      </c>
      <c r="E76" s="1" t="s">
        <v>376</v>
      </c>
      <c r="F76" s="1" t="s">
        <v>380</v>
      </c>
      <c r="G76" s="1" t="s">
        <v>385</v>
      </c>
      <c r="H76" s="1" t="s">
        <v>387</v>
      </c>
      <c r="I76">
        <v>75048.92</v>
      </c>
      <c r="J76">
        <v>1389838</v>
      </c>
      <c r="K76">
        <v>33327</v>
      </c>
      <c r="L76">
        <v>764</v>
      </c>
      <c r="M76">
        <v>146955.91</v>
      </c>
      <c r="N76" s="1" t="s">
        <v>390</v>
      </c>
      <c r="O76">
        <v>6</v>
      </c>
      <c r="P76" s="8">
        <v>2.3979053673881399E-2</v>
      </c>
      <c r="Q76" s="8">
        <v>2.2924355627569198E-2</v>
      </c>
      <c r="R76" s="1">
        <v>98.231570680628266</v>
      </c>
      <c r="S76" s="3">
        <v>1.9581349072045275</v>
      </c>
      <c r="T76" s="1">
        <v>71906.990000000005</v>
      </c>
      <c r="U76" s="2">
        <v>45544</v>
      </c>
      <c r="V76" s="10">
        <v>49.99</v>
      </c>
      <c r="W76">
        <v>30</v>
      </c>
      <c r="X76" s="3">
        <v>4.4095151078704955</v>
      </c>
      <c r="Y76" s="7">
        <v>1.0180026574666231E-2</v>
      </c>
      <c r="Z76">
        <v>0.51069004302038601</v>
      </c>
      <c r="AA76"/>
      <c r="AB76"/>
    </row>
    <row r="77" spans="1:28" x14ac:dyDescent="0.3">
      <c r="A77" s="1" t="s">
        <v>92</v>
      </c>
      <c r="B77" s="1" t="s">
        <v>370</v>
      </c>
      <c r="C77" s="2">
        <v>45541</v>
      </c>
      <c r="D77" s="2">
        <v>45447</v>
      </c>
      <c r="E77" s="1" t="s">
        <v>372</v>
      </c>
      <c r="F77" s="1" t="s">
        <v>378</v>
      </c>
      <c r="G77" s="1" t="s">
        <v>383</v>
      </c>
      <c r="H77" s="1" t="s">
        <v>387</v>
      </c>
      <c r="I77">
        <v>50221.72</v>
      </c>
      <c r="J77">
        <v>1198993</v>
      </c>
      <c r="K77">
        <v>43070</v>
      </c>
      <c r="L77">
        <v>753</v>
      </c>
      <c r="M77">
        <v>146342.20000000001</v>
      </c>
      <c r="N77" s="1" t="s">
        <v>390</v>
      </c>
      <c r="O77">
        <v>8</v>
      </c>
      <c r="P77" s="8">
        <v>3.5921811053108703E-2</v>
      </c>
      <c r="Q77" s="8">
        <v>1.7483166937543499E-2</v>
      </c>
      <c r="R77" s="1">
        <v>66.695511288180612</v>
      </c>
      <c r="S77" s="3">
        <v>2.9139225020568791</v>
      </c>
      <c r="T77" s="1">
        <v>96120.48000000001</v>
      </c>
      <c r="U77" s="2">
        <v>45571</v>
      </c>
      <c r="V77" s="10">
        <v>26.09</v>
      </c>
      <c r="W77">
        <v>30</v>
      </c>
      <c r="X77" s="3">
        <v>3.3977757139540286</v>
      </c>
      <c r="Y77" s="7">
        <v>1.4993512766986076E-2</v>
      </c>
      <c r="Z77">
        <v>0.34318002599386899</v>
      </c>
      <c r="AA77"/>
      <c r="AB77"/>
    </row>
    <row r="78" spans="1:28" x14ac:dyDescent="0.3">
      <c r="A78" s="1" t="s">
        <v>93</v>
      </c>
      <c r="B78" s="1" t="s">
        <v>371</v>
      </c>
      <c r="C78" s="2">
        <v>45438</v>
      </c>
      <c r="D78" s="2">
        <v>45621</v>
      </c>
      <c r="E78" s="1" t="s">
        <v>373</v>
      </c>
      <c r="F78" s="1" t="s">
        <v>379</v>
      </c>
      <c r="G78" s="1" t="s">
        <v>384</v>
      </c>
      <c r="H78" s="1" t="s">
        <v>387</v>
      </c>
      <c r="I78">
        <v>40709.39</v>
      </c>
      <c r="J78">
        <v>1180392</v>
      </c>
      <c r="K78">
        <v>21389</v>
      </c>
      <c r="L78">
        <v>810</v>
      </c>
      <c r="M78">
        <v>169121.76</v>
      </c>
      <c r="N78" s="1" t="s">
        <v>390</v>
      </c>
      <c r="O78">
        <v>6</v>
      </c>
      <c r="P78" s="8">
        <v>1.8120251577442101E-2</v>
      </c>
      <c r="Q78" s="8">
        <v>3.7869933143204401E-2</v>
      </c>
      <c r="R78" s="1">
        <v>50.258506172839503</v>
      </c>
      <c r="S78" s="3">
        <v>4.1543673339246796</v>
      </c>
      <c r="T78" s="1">
        <v>128412.37000000001</v>
      </c>
      <c r="U78" s="2">
        <v>45621</v>
      </c>
      <c r="V78" s="10">
        <v>36</v>
      </c>
      <c r="W78">
        <v>183</v>
      </c>
      <c r="X78" s="3">
        <v>7.9069503015568756</v>
      </c>
      <c r="Y78" s="7">
        <v>1.9897129384645655E-2</v>
      </c>
      <c r="Z78">
        <v>0.24071053896317099</v>
      </c>
      <c r="AA78"/>
      <c r="AB78"/>
    </row>
    <row r="79" spans="1:28" x14ac:dyDescent="0.3">
      <c r="A79" s="1" t="s">
        <v>94</v>
      </c>
      <c r="B79" s="1" t="s">
        <v>367</v>
      </c>
      <c r="C79" s="2">
        <v>45387</v>
      </c>
      <c r="D79" s="2">
        <v>45346</v>
      </c>
      <c r="E79" s="1" t="s">
        <v>377</v>
      </c>
      <c r="F79" s="1" t="s">
        <v>379</v>
      </c>
      <c r="G79" s="1" t="s">
        <v>382</v>
      </c>
      <c r="H79" s="1" t="s">
        <v>386</v>
      </c>
      <c r="I79">
        <v>42475.25</v>
      </c>
      <c r="J79">
        <v>1776199</v>
      </c>
      <c r="K79">
        <v>41197</v>
      </c>
      <c r="L79">
        <v>548</v>
      </c>
      <c r="M79">
        <v>141611.69</v>
      </c>
      <c r="N79" s="1" t="s">
        <v>389</v>
      </c>
      <c r="O79">
        <v>8</v>
      </c>
      <c r="P79" s="8">
        <v>2.31939101418253E-2</v>
      </c>
      <c r="Q79" s="8">
        <v>1.33019394616113E-2</v>
      </c>
      <c r="R79" s="1">
        <v>77.509580291970806</v>
      </c>
      <c r="S79" s="3">
        <v>3.3339813185325573</v>
      </c>
      <c r="T79" s="1">
        <v>99136.44</v>
      </c>
      <c r="U79" s="2">
        <v>45417</v>
      </c>
      <c r="V79" s="10">
        <v>50.38</v>
      </c>
      <c r="W79">
        <v>30</v>
      </c>
      <c r="X79" s="3">
        <v>3.4374272398475618</v>
      </c>
      <c r="Y79" s="7">
        <v>1.2901630949788407E-2</v>
      </c>
      <c r="Z79">
        <v>0.29994169266675602</v>
      </c>
      <c r="AA79"/>
      <c r="AB79"/>
    </row>
    <row r="80" spans="1:28" x14ac:dyDescent="0.3">
      <c r="A80" s="1" t="s">
        <v>95</v>
      </c>
      <c r="B80" s="1" t="s">
        <v>367</v>
      </c>
      <c r="C80" s="2">
        <v>45548</v>
      </c>
      <c r="D80" s="2">
        <v>45466</v>
      </c>
      <c r="E80" s="1" t="s">
        <v>376</v>
      </c>
      <c r="F80" s="1" t="s">
        <v>380</v>
      </c>
      <c r="G80" s="1" t="s">
        <v>384</v>
      </c>
      <c r="H80" s="1" t="s">
        <v>386</v>
      </c>
      <c r="I80">
        <v>48647.44</v>
      </c>
      <c r="J80">
        <v>325709</v>
      </c>
      <c r="K80">
        <v>3261</v>
      </c>
      <c r="L80">
        <v>1827</v>
      </c>
      <c r="M80">
        <v>221021.23</v>
      </c>
      <c r="N80" s="1" t="s">
        <v>390</v>
      </c>
      <c r="O80">
        <v>8</v>
      </c>
      <c r="P80" s="8">
        <v>1.0012004580776101E-2</v>
      </c>
      <c r="Q80" s="8">
        <v>0.56025758969641204</v>
      </c>
      <c r="R80" s="1">
        <v>26.626951286261633</v>
      </c>
      <c r="S80" s="3">
        <v>4.5433270486586759</v>
      </c>
      <c r="T80" s="1">
        <v>172373.79</v>
      </c>
      <c r="U80" s="2">
        <v>45578</v>
      </c>
      <c r="V80" s="10">
        <v>47.66</v>
      </c>
      <c r="W80">
        <v>30</v>
      </c>
      <c r="X80" s="3">
        <v>67.777132781355419</v>
      </c>
      <c r="Y80" s="7">
        <v>3.7555933056292373E-2</v>
      </c>
      <c r="Z80">
        <v>0.22010301906292001</v>
      </c>
      <c r="AA80"/>
      <c r="AB80"/>
    </row>
    <row r="81" spans="1:28" x14ac:dyDescent="0.3">
      <c r="A81" s="1" t="s">
        <v>96</v>
      </c>
      <c r="B81" s="1" t="s">
        <v>367</v>
      </c>
      <c r="C81" s="2">
        <v>45295</v>
      </c>
      <c r="D81" s="2">
        <v>45334</v>
      </c>
      <c r="E81" s="1" t="s">
        <v>372</v>
      </c>
      <c r="F81" s="1" t="s">
        <v>379</v>
      </c>
      <c r="G81" s="1" t="s">
        <v>382</v>
      </c>
      <c r="H81" s="1" t="s">
        <v>386</v>
      </c>
      <c r="I81">
        <v>79576.570000000007</v>
      </c>
      <c r="J81">
        <v>1774290</v>
      </c>
      <c r="K81">
        <v>29369</v>
      </c>
      <c r="L81">
        <v>1538</v>
      </c>
      <c r="M81">
        <v>172139.22</v>
      </c>
      <c r="N81" s="1" t="s">
        <v>389</v>
      </c>
      <c r="O81">
        <v>6</v>
      </c>
      <c r="P81" s="8">
        <v>1.6552536507560799E-2</v>
      </c>
      <c r="Q81" s="8">
        <v>5.2368143280329599E-2</v>
      </c>
      <c r="R81" s="1">
        <v>51.740292587776338</v>
      </c>
      <c r="S81" s="3">
        <v>2.1631897429105074</v>
      </c>
      <c r="T81" s="1">
        <v>92562.65</v>
      </c>
      <c r="U81" s="2">
        <v>45334</v>
      </c>
      <c r="V81" s="10">
        <v>20.81</v>
      </c>
      <c r="W81">
        <v>39</v>
      </c>
      <c r="X81" s="3">
        <v>5.8612557458544723</v>
      </c>
      <c r="Y81" s="7">
        <v>1.9327296966933857E-2</v>
      </c>
      <c r="Z81">
        <v>0.46228029847004098</v>
      </c>
      <c r="AA81"/>
      <c r="AB81"/>
    </row>
    <row r="82" spans="1:28" x14ac:dyDescent="0.3">
      <c r="A82" s="1" t="s">
        <v>97</v>
      </c>
      <c r="B82" s="1" t="s">
        <v>368</v>
      </c>
      <c r="C82" s="2">
        <v>45307</v>
      </c>
      <c r="D82" s="2">
        <v>45533</v>
      </c>
      <c r="E82" s="1" t="s">
        <v>376</v>
      </c>
      <c r="F82" s="1" t="s">
        <v>379</v>
      </c>
      <c r="G82" s="1" t="s">
        <v>385</v>
      </c>
      <c r="H82" s="1" t="s">
        <v>387</v>
      </c>
      <c r="I82">
        <v>89748.05</v>
      </c>
      <c r="J82">
        <v>224023</v>
      </c>
      <c r="K82">
        <v>27512</v>
      </c>
      <c r="L82">
        <v>1764</v>
      </c>
      <c r="M82">
        <v>141271.18</v>
      </c>
      <c r="N82" s="1" t="s">
        <v>389</v>
      </c>
      <c r="O82">
        <v>5</v>
      </c>
      <c r="P82" s="8">
        <v>0.122808818737362</v>
      </c>
      <c r="Q82" s="8">
        <v>6.4117476010468202E-2</v>
      </c>
      <c r="R82" s="1">
        <v>50.87757936507937</v>
      </c>
      <c r="S82" s="3">
        <v>1.5740863450515079</v>
      </c>
      <c r="T82" s="1">
        <v>51523.12999999999</v>
      </c>
      <c r="U82" s="2">
        <v>45533</v>
      </c>
      <c r="V82" s="10">
        <v>20.53</v>
      </c>
      <c r="W82">
        <v>226</v>
      </c>
      <c r="X82" s="3">
        <v>5.134893137539982</v>
      </c>
      <c r="Y82" s="7">
        <v>1.9655023145349674E-2</v>
      </c>
      <c r="Z82">
        <v>0.63528916513615896</v>
      </c>
      <c r="AA82"/>
      <c r="AB82"/>
    </row>
    <row r="83" spans="1:28" x14ac:dyDescent="0.3">
      <c r="A83" s="1" t="s">
        <v>98</v>
      </c>
      <c r="B83" s="1" t="s">
        <v>371</v>
      </c>
      <c r="C83" s="2">
        <v>45571</v>
      </c>
      <c r="D83" s="2">
        <v>45346</v>
      </c>
      <c r="E83" s="1" t="s">
        <v>375</v>
      </c>
      <c r="F83" s="1" t="s">
        <v>379</v>
      </c>
      <c r="G83" s="1" t="s">
        <v>382</v>
      </c>
      <c r="H83" s="1" t="s">
        <v>387</v>
      </c>
      <c r="I83">
        <v>95756.800000000003</v>
      </c>
      <c r="J83">
        <v>927611</v>
      </c>
      <c r="K83">
        <v>7716</v>
      </c>
      <c r="L83">
        <v>1023</v>
      </c>
      <c r="M83">
        <v>209143.15</v>
      </c>
      <c r="N83" s="1" t="s">
        <v>390</v>
      </c>
      <c r="O83">
        <v>7</v>
      </c>
      <c r="P83" s="8">
        <v>8.31814197977385E-3</v>
      </c>
      <c r="Q83" s="8">
        <v>0.132581648522551</v>
      </c>
      <c r="R83" s="1">
        <v>93.603910068426202</v>
      </c>
      <c r="S83" s="3">
        <v>2.1841075516307979</v>
      </c>
      <c r="T83" s="1">
        <v>113386.34999999999</v>
      </c>
      <c r="U83" s="2">
        <v>45601</v>
      </c>
      <c r="V83" s="10">
        <v>15.53</v>
      </c>
      <c r="W83">
        <v>30</v>
      </c>
      <c r="X83" s="3">
        <v>27.105125712804561</v>
      </c>
      <c r="Y83" s="7">
        <v>1.068331439647106E-2</v>
      </c>
      <c r="Z83">
        <v>0.45785291079339702</v>
      </c>
      <c r="AA83"/>
      <c r="AB83"/>
    </row>
    <row r="84" spans="1:28" x14ac:dyDescent="0.3">
      <c r="A84" s="1" t="s">
        <v>99</v>
      </c>
      <c r="B84" s="1" t="s">
        <v>368</v>
      </c>
      <c r="C84" s="2">
        <v>45538</v>
      </c>
      <c r="D84" s="2">
        <v>45389</v>
      </c>
      <c r="E84" s="1" t="s">
        <v>374</v>
      </c>
      <c r="F84" s="1" t="s">
        <v>381</v>
      </c>
      <c r="G84" s="1" t="s">
        <v>385</v>
      </c>
      <c r="H84" s="1" t="s">
        <v>388</v>
      </c>
      <c r="I84">
        <v>79755.820000000007</v>
      </c>
      <c r="J84">
        <v>597936</v>
      </c>
      <c r="K84">
        <v>22259</v>
      </c>
      <c r="L84">
        <v>1804</v>
      </c>
      <c r="M84">
        <v>155475.18</v>
      </c>
      <c r="N84" s="1" t="s">
        <v>390</v>
      </c>
      <c r="O84">
        <v>4</v>
      </c>
      <c r="P84" s="8">
        <v>3.7226392122233803E-2</v>
      </c>
      <c r="Q84" s="8">
        <v>8.1045869086661601E-2</v>
      </c>
      <c r="R84" s="1">
        <v>44.210543237250555</v>
      </c>
      <c r="S84" s="3">
        <v>1.949389774940562</v>
      </c>
      <c r="T84" s="1">
        <v>75719.359999999986</v>
      </c>
      <c r="U84" s="2">
        <v>45568</v>
      </c>
      <c r="V84" s="10">
        <v>15.96</v>
      </c>
      <c r="W84">
        <v>30</v>
      </c>
      <c r="X84" s="3">
        <v>6.9848232175749132</v>
      </c>
      <c r="Y84" s="7">
        <v>2.2619038961670758E-2</v>
      </c>
      <c r="Z84">
        <v>0.51298104301921399</v>
      </c>
      <c r="AA84"/>
      <c r="AB84"/>
    </row>
    <row r="85" spans="1:28" x14ac:dyDescent="0.3">
      <c r="A85" s="1" t="s">
        <v>100</v>
      </c>
      <c r="B85" s="1" t="s">
        <v>368</v>
      </c>
      <c r="C85" s="2">
        <v>45549</v>
      </c>
      <c r="D85" s="2">
        <v>45388</v>
      </c>
      <c r="E85" s="1" t="s">
        <v>377</v>
      </c>
      <c r="F85" s="1" t="s">
        <v>378</v>
      </c>
      <c r="G85" s="1" t="s">
        <v>384</v>
      </c>
      <c r="H85" s="1" t="s">
        <v>388</v>
      </c>
      <c r="I85">
        <v>34963.660000000003</v>
      </c>
      <c r="J85">
        <v>493945</v>
      </c>
      <c r="K85">
        <v>29933</v>
      </c>
      <c r="L85">
        <v>131</v>
      </c>
      <c r="M85">
        <v>79874.62</v>
      </c>
      <c r="N85" s="1" t="s">
        <v>389</v>
      </c>
      <c r="O85">
        <v>9</v>
      </c>
      <c r="P85" s="8">
        <v>6.0599864357367701E-2</v>
      </c>
      <c r="Q85" s="8">
        <v>4.3764407176026497E-3</v>
      </c>
      <c r="R85" s="1">
        <v>266.89816793893135</v>
      </c>
      <c r="S85" s="3">
        <v>2.2845039678340306</v>
      </c>
      <c r="T85" s="1">
        <v>44910.959999999992</v>
      </c>
      <c r="U85" s="2">
        <v>45579</v>
      </c>
      <c r="V85" s="10">
        <v>42.08</v>
      </c>
      <c r="W85">
        <v>30</v>
      </c>
      <c r="X85" s="3">
        <v>2.6684468646644168</v>
      </c>
      <c r="Y85" s="7">
        <v>3.7467473370922833E-3</v>
      </c>
      <c r="Z85">
        <v>0.43773178514026101</v>
      </c>
      <c r="AA85"/>
      <c r="AB85"/>
    </row>
    <row r="86" spans="1:28" x14ac:dyDescent="0.3">
      <c r="A86" s="1" t="s">
        <v>101</v>
      </c>
      <c r="B86" s="1" t="s">
        <v>371</v>
      </c>
      <c r="C86" s="2">
        <v>45451</v>
      </c>
      <c r="D86" s="2">
        <v>45554</v>
      </c>
      <c r="E86" s="1" t="s">
        <v>376</v>
      </c>
      <c r="F86" s="1" t="s">
        <v>380</v>
      </c>
      <c r="G86" s="1" t="s">
        <v>385</v>
      </c>
      <c r="H86" s="1" t="s">
        <v>387</v>
      </c>
      <c r="I86">
        <v>70372.800000000003</v>
      </c>
      <c r="J86">
        <v>1140547</v>
      </c>
      <c r="K86">
        <v>42689</v>
      </c>
      <c r="L86">
        <v>653</v>
      </c>
      <c r="M86">
        <v>59702.78</v>
      </c>
      <c r="N86" s="1" t="s">
        <v>389</v>
      </c>
      <c r="O86">
        <v>7</v>
      </c>
      <c r="P86" s="8">
        <v>3.74285320990718E-2</v>
      </c>
      <c r="Q86" s="8">
        <v>1.5296680643725601E-2</v>
      </c>
      <c r="R86" s="1">
        <v>107.76845329249618</v>
      </c>
      <c r="S86" s="3">
        <v>0.84837863492713084</v>
      </c>
      <c r="T86" s="1">
        <v>-10670.020000000004</v>
      </c>
      <c r="U86" s="2">
        <v>45554</v>
      </c>
      <c r="V86" s="10">
        <v>32.880000000000003</v>
      </c>
      <c r="W86">
        <v>103</v>
      </c>
      <c r="X86" s="3">
        <v>1.3985518517650917</v>
      </c>
      <c r="Y86" s="7">
        <v>9.2791533092331131E-3</v>
      </c>
      <c r="Z86">
        <v>1.1787189809251799</v>
      </c>
      <c r="AA86"/>
      <c r="AB86"/>
    </row>
    <row r="87" spans="1:28" x14ac:dyDescent="0.3">
      <c r="A87" s="1" t="s">
        <v>102</v>
      </c>
      <c r="B87" s="1" t="s">
        <v>371</v>
      </c>
      <c r="C87" s="2">
        <v>45443</v>
      </c>
      <c r="D87" s="2">
        <v>45430</v>
      </c>
      <c r="E87" s="1" t="s">
        <v>374</v>
      </c>
      <c r="F87" s="1" t="s">
        <v>380</v>
      </c>
      <c r="G87" s="1" t="s">
        <v>384</v>
      </c>
      <c r="H87" s="1" t="s">
        <v>387</v>
      </c>
      <c r="I87">
        <v>46572.3</v>
      </c>
      <c r="J87">
        <v>68658</v>
      </c>
      <c r="K87">
        <v>5378</v>
      </c>
      <c r="L87">
        <v>1760</v>
      </c>
      <c r="M87">
        <v>46558.67</v>
      </c>
      <c r="N87" s="1" t="s">
        <v>391</v>
      </c>
      <c r="O87">
        <v>4</v>
      </c>
      <c r="P87" s="8">
        <v>7.8330274694864394E-2</v>
      </c>
      <c r="Q87" s="8">
        <v>0.327259204165117</v>
      </c>
      <c r="R87" s="1">
        <v>26.461534090909094</v>
      </c>
      <c r="S87" s="3">
        <v>0.99970733676455736</v>
      </c>
      <c r="T87" s="1">
        <v>-13.630000000004657</v>
      </c>
      <c r="U87" s="2">
        <v>45473</v>
      </c>
      <c r="V87" s="10">
        <v>24.87</v>
      </c>
      <c r="W87">
        <v>30</v>
      </c>
      <c r="X87" s="3">
        <v>8.6572461881740423</v>
      </c>
      <c r="Y87" s="7">
        <v>3.7790703916276411E-2</v>
      </c>
      <c r="Z87">
        <v>1.0002927489122899</v>
      </c>
      <c r="AA87"/>
      <c r="AB87"/>
    </row>
    <row r="88" spans="1:28" x14ac:dyDescent="0.3">
      <c r="A88" s="1" t="s">
        <v>103</v>
      </c>
      <c r="B88" s="1" t="s">
        <v>371</v>
      </c>
      <c r="C88" s="2">
        <v>45469</v>
      </c>
      <c r="D88" s="2">
        <v>45467</v>
      </c>
      <c r="E88" s="1" t="s">
        <v>372</v>
      </c>
      <c r="F88" s="1" t="s">
        <v>381</v>
      </c>
      <c r="G88" s="1" t="s">
        <v>383</v>
      </c>
      <c r="H88" s="1" t="s">
        <v>387</v>
      </c>
      <c r="I88">
        <v>29193.71</v>
      </c>
      <c r="J88">
        <v>71253</v>
      </c>
      <c r="K88">
        <v>41583</v>
      </c>
      <c r="L88">
        <v>1824</v>
      </c>
      <c r="M88">
        <v>225869.25</v>
      </c>
      <c r="N88" s="1" t="s">
        <v>389</v>
      </c>
      <c r="O88">
        <v>4</v>
      </c>
      <c r="P88" s="8">
        <v>0.58359648014820398</v>
      </c>
      <c r="Q88" s="8">
        <v>4.3864079070774102E-2</v>
      </c>
      <c r="R88" s="1">
        <v>16.00532346491228</v>
      </c>
      <c r="S88" s="3">
        <v>7.7369149039296481</v>
      </c>
      <c r="T88" s="1">
        <v>196675.54</v>
      </c>
      <c r="U88" s="2">
        <v>45499</v>
      </c>
      <c r="V88" s="10">
        <v>13.52</v>
      </c>
      <c r="W88">
        <v>30</v>
      </c>
      <c r="X88" s="3">
        <v>5.4317689921362096</v>
      </c>
      <c r="Y88" s="7">
        <v>6.2479212131654388E-2</v>
      </c>
      <c r="Z88">
        <v>0.12925048451703799</v>
      </c>
      <c r="AA88"/>
      <c r="AB88"/>
    </row>
    <row r="89" spans="1:28" x14ac:dyDescent="0.3">
      <c r="A89" s="1" t="s">
        <v>104</v>
      </c>
      <c r="B89" s="1" t="s">
        <v>371</v>
      </c>
      <c r="C89" s="2">
        <v>45454</v>
      </c>
      <c r="D89" s="2">
        <v>45432</v>
      </c>
      <c r="E89" s="1" t="s">
        <v>374</v>
      </c>
      <c r="F89" s="1" t="s">
        <v>378</v>
      </c>
      <c r="G89" s="1" t="s">
        <v>383</v>
      </c>
      <c r="H89" s="1" t="s">
        <v>387</v>
      </c>
      <c r="I89">
        <v>84882.8</v>
      </c>
      <c r="J89">
        <v>1555958</v>
      </c>
      <c r="K89">
        <v>47546</v>
      </c>
      <c r="L89">
        <v>821</v>
      </c>
      <c r="M89">
        <v>180432.5</v>
      </c>
      <c r="N89" s="1" t="s">
        <v>391</v>
      </c>
      <c r="O89">
        <v>8</v>
      </c>
      <c r="P89" s="8">
        <v>3.0557380083524099E-2</v>
      </c>
      <c r="Q89" s="8">
        <v>1.7267488327093801E-2</v>
      </c>
      <c r="R89" s="1">
        <v>103.38952496954933</v>
      </c>
      <c r="S89" s="3">
        <v>2.1256662127074035</v>
      </c>
      <c r="T89" s="1">
        <v>95549.7</v>
      </c>
      <c r="U89" s="2">
        <v>45484</v>
      </c>
      <c r="V89" s="10">
        <v>65.48</v>
      </c>
      <c r="W89">
        <v>30</v>
      </c>
      <c r="X89" s="3">
        <v>3.7949038825558405</v>
      </c>
      <c r="Y89" s="7">
        <v>9.6721597308288606E-3</v>
      </c>
      <c r="Z89">
        <v>0.47044074653956502</v>
      </c>
      <c r="AA89"/>
      <c r="AB89"/>
    </row>
    <row r="90" spans="1:28" x14ac:dyDescent="0.3">
      <c r="A90" s="1" t="s">
        <v>105</v>
      </c>
      <c r="B90" s="1" t="s">
        <v>367</v>
      </c>
      <c r="C90" s="2">
        <v>45324</v>
      </c>
      <c r="D90" s="2">
        <v>45549</v>
      </c>
      <c r="E90" s="1" t="s">
        <v>377</v>
      </c>
      <c r="F90" s="1" t="s">
        <v>380</v>
      </c>
      <c r="G90" s="1" t="s">
        <v>383</v>
      </c>
      <c r="H90" s="1" t="s">
        <v>388</v>
      </c>
      <c r="I90">
        <v>8650.5</v>
      </c>
      <c r="J90">
        <v>229635</v>
      </c>
      <c r="K90">
        <v>20835</v>
      </c>
      <c r="L90">
        <v>952</v>
      </c>
      <c r="M90">
        <v>234970.83</v>
      </c>
      <c r="N90" s="1" t="s">
        <v>391</v>
      </c>
      <c r="O90">
        <v>4</v>
      </c>
      <c r="P90" s="8">
        <v>9.0730942582794405E-2</v>
      </c>
      <c r="Q90" s="8">
        <v>4.5692344612430998E-2</v>
      </c>
      <c r="R90" s="1">
        <v>9.0866596638655466</v>
      </c>
      <c r="S90" s="3">
        <v>27.162687705912951</v>
      </c>
      <c r="T90" s="1">
        <v>226320.33</v>
      </c>
      <c r="U90" s="2">
        <v>45549</v>
      </c>
      <c r="V90" s="10">
        <v>21.88</v>
      </c>
      <c r="W90">
        <v>225</v>
      </c>
      <c r="X90" s="3">
        <v>11.277697624190065</v>
      </c>
      <c r="Y90" s="7">
        <v>0.11005144211317265</v>
      </c>
      <c r="Z90">
        <v>3.6815208083488503E-2</v>
      </c>
      <c r="AA90"/>
      <c r="AB90"/>
    </row>
    <row r="91" spans="1:28" x14ac:dyDescent="0.3">
      <c r="A91" s="1" t="s">
        <v>106</v>
      </c>
      <c r="B91" s="1" t="s">
        <v>369</v>
      </c>
      <c r="C91" s="2">
        <v>45470</v>
      </c>
      <c r="D91" s="2">
        <v>45432</v>
      </c>
      <c r="E91" s="1" t="s">
        <v>376</v>
      </c>
      <c r="F91" s="1" t="s">
        <v>379</v>
      </c>
      <c r="G91" s="1" t="s">
        <v>385</v>
      </c>
      <c r="H91" s="1" t="s">
        <v>387</v>
      </c>
      <c r="I91">
        <v>90667.39</v>
      </c>
      <c r="J91">
        <v>207462</v>
      </c>
      <c r="K91">
        <v>30033</v>
      </c>
      <c r="L91">
        <v>414</v>
      </c>
      <c r="M91">
        <v>154790.03</v>
      </c>
      <c r="N91" s="1" t="s">
        <v>391</v>
      </c>
      <c r="O91">
        <v>9</v>
      </c>
      <c r="P91" s="8">
        <v>0.14476386036961</v>
      </c>
      <c r="Q91" s="8">
        <v>1.37848366796524E-2</v>
      </c>
      <c r="R91" s="1">
        <v>219.0033574879227</v>
      </c>
      <c r="S91" s="3">
        <v>1.7072293577657855</v>
      </c>
      <c r="T91" s="1">
        <v>64122.64</v>
      </c>
      <c r="U91" s="2">
        <v>45500</v>
      </c>
      <c r="V91" s="10">
        <v>49.66</v>
      </c>
      <c r="W91">
        <v>30</v>
      </c>
      <c r="X91" s="3">
        <v>5.1539982685712387</v>
      </c>
      <c r="Y91" s="7">
        <v>4.5661400421915755E-3</v>
      </c>
      <c r="Z91">
        <v>0.58574437901459198</v>
      </c>
      <c r="AA91"/>
      <c r="AB91"/>
    </row>
    <row r="92" spans="1:28" x14ac:dyDescent="0.3">
      <c r="A92" s="1" t="s">
        <v>107</v>
      </c>
      <c r="B92" s="1" t="s">
        <v>369</v>
      </c>
      <c r="C92" s="2">
        <v>45392</v>
      </c>
      <c r="D92" s="2">
        <v>45355</v>
      </c>
      <c r="E92" s="1" t="s">
        <v>375</v>
      </c>
      <c r="F92" s="1" t="s">
        <v>380</v>
      </c>
      <c r="G92" s="1" t="s">
        <v>383</v>
      </c>
      <c r="H92" s="1" t="s">
        <v>388</v>
      </c>
      <c r="I92">
        <v>48840.36</v>
      </c>
      <c r="J92">
        <v>1449384</v>
      </c>
      <c r="K92">
        <v>25000</v>
      </c>
      <c r="L92">
        <v>212</v>
      </c>
      <c r="M92">
        <v>123616.21</v>
      </c>
      <c r="N92" s="1" t="s">
        <v>390</v>
      </c>
      <c r="O92">
        <v>4</v>
      </c>
      <c r="P92" s="8">
        <v>1.72487070369205E-2</v>
      </c>
      <c r="Q92" s="8">
        <v>8.4799999999999997E-3</v>
      </c>
      <c r="R92" s="1">
        <v>230.37905660377359</v>
      </c>
      <c r="S92" s="3">
        <v>2.5310257745847902</v>
      </c>
      <c r="T92" s="1">
        <v>74775.850000000006</v>
      </c>
      <c r="U92" s="2">
        <v>45422</v>
      </c>
      <c r="V92" s="10">
        <v>61.72</v>
      </c>
      <c r="W92">
        <v>30</v>
      </c>
      <c r="X92" s="3">
        <v>4.9446484000000002</v>
      </c>
      <c r="Y92" s="7">
        <v>4.3406723455764861E-3</v>
      </c>
      <c r="Z92">
        <v>0.39509672720106898</v>
      </c>
      <c r="AA92"/>
      <c r="AB92"/>
    </row>
    <row r="93" spans="1:28" x14ac:dyDescent="0.3">
      <c r="A93" s="1" t="s">
        <v>108</v>
      </c>
      <c r="B93" s="1" t="s">
        <v>371</v>
      </c>
      <c r="C93" s="2">
        <v>45559</v>
      </c>
      <c r="D93" s="2">
        <v>45432</v>
      </c>
      <c r="E93" s="1" t="s">
        <v>372</v>
      </c>
      <c r="F93" s="1" t="s">
        <v>379</v>
      </c>
      <c r="G93" s="1" t="s">
        <v>382</v>
      </c>
      <c r="H93" s="1" t="s">
        <v>387</v>
      </c>
      <c r="I93">
        <v>65534.14</v>
      </c>
      <c r="J93">
        <v>1805514</v>
      </c>
      <c r="K93">
        <v>46496</v>
      </c>
      <c r="L93">
        <v>1121</v>
      </c>
      <c r="M93">
        <v>24331.96</v>
      </c>
      <c r="N93" s="1" t="s">
        <v>390</v>
      </c>
      <c r="O93">
        <v>6</v>
      </c>
      <c r="P93" s="8">
        <v>2.5752223466558598E-2</v>
      </c>
      <c r="Q93" s="8">
        <v>2.41096008258775E-2</v>
      </c>
      <c r="R93" s="1">
        <v>58.460428189116861</v>
      </c>
      <c r="S93" s="3">
        <v>0.3712867827364485</v>
      </c>
      <c r="T93" s="1">
        <v>-41202.18</v>
      </c>
      <c r="U93" s="2">
        <v>45589</v>
      </c>
      <c r="V93" s="10">
        <v>75.040000000000006</v>
      </c>
      <c r="W93">
        <v>30</v>
      </c>
      <c r="X93" s="3">
        <v>0.5233129731589814</v>
      </c>
      <c r="Y93" s="7">
        <v>1.7105588018702923E-2</v>
      </c>
      <c r="Z93">
        <v>2.6933358430640202</v>
      </c>
      <c r="AA93"/>
      <c r="AB93"/>
    </row>
    <row r="94" spans="1:28" x14ac:dyDescent="0.3">
      <c r="A94" s="1" t="s">
        <v>109</v>
      </c>
      <c r="B94" s="1" t="s">
        <v>369</v>
      </c>
      <c r="C94" s="2">
        <v>45356</v>
      </c>
      <c r="D94" s="2">
        <v>45585</v>
      </c>
      <c r="E94" s="1" t="s">
        <v>376</v>
      </c>
      <c r="F94" s="1" t="s">
        <v>381</v>
      </c>
      <c r="G94" s="1" t="s">
        <v>384</v>
      </c>
      <c r="H94" s="1" t="s">
        <v>387</v>
      </c>
      <c r="I94">
        <v>67638.62</v>
      </c>
      <c r="J94">
        <v>260097</v>
      </c>
      <c r="K94">
        <v>11332</v>
      </c>
      <c r="L94">
        <v>560</v>
      </c>
      <c r="M94">
        <v>171194.15</v>
      </c>
      <c r="N94" s="1" t="s">
        <v>389</v>
      </c>
      <c r="O94">
        <v>7</v>
      </c>
      <c r="P94" s="8">
        <v>4.3568361034537102E-2</v>
      </c>
      <c r="Q94" s="8">
        <v>4.9417578538651599E-2</v>
      </c>
      <c r="R94" s="1">
        <v>120.78325</v>
      </c>
      <c r="S94" s="3">
        <v>2.5310118686631986</v>
      </c>
      <c r="T94" s="1">
        <v>103555.53</v>
      </c>
      <c r="U94" s="2">
        <v>45585</v>
      </c>
      <c r="V94" s="10">
        <v>29.01</v>
      </c>
      <c r="W94">
        <v>229</v>
      </c>
      <c r="X94" s="3">
        <v>15.107143487469113</v>
      </c>
      <c r="Y94" s="7">
        <v>8.2792936934550122E-3</v>
      </c>
      <c r="Z94">
        <v>0.39509889794715503</v>
      </c>
      <c r="AA94"/>
      <c r="AB94"/>
    </row>
    <row r="95" spans="1:28" x14ac:dyDescent="0.3">
      <c r="A95" s="1" t="s">
        <v>110</v>
      </c>
      <c r="B95" s="1" t="s">
        <v>369</v>
      </c>
      <c r="C95" s="2">
        <v>45459</v>
      </c>
      <c r="D95" s="2">
        <v>45557</v>
      </c>
      <c r="E95" s="1" t="s">
        <v>377</v>
      </c>
      <c r="F95" s="1" t="s">
        <v>379</v>
      </c>
      <c r="G95" s="1" t="s">
        <v>384</v>
      </c>
      <c r="H95" s="1" t="s">
        <v>387</v>
      </c>
      <c r="I95">
        <v>90036.19</v>
      </c>
      <c r="J95">
        <v>678138</v>
      </c>
      <c r="K95">
        <v>43604</v>
      </c>
      <c r="L95">
        <v>1402</v>
      </c>
      <c r="M95">
        <v>149730.1</v>
      </c>
      <c r="N95" s="1" t="s">
        <v>391</v>
      </c>
      <c r="O95">
        <v>6</v>
      </c>
      <c r="P95" s="8">
        <v>6.4299596837221903E-2</v>
      </c>
      <c r="Q95" s="8">
        <v>3.2153013485001401E-2</v>
      </c>
      <c r="R95" s="1">
        <v>64.219821683309561</v>
      </c>
      <c r="S95" s="3">
        <v>1.6629990673750188</v>
      </c>
      <c r="T95" s="1">
        <v>59693.91</v>
      </c>
      <c r="U95" s="2">
        <v>45557</v>
      </c>
      <c r="V95" s="10">
        <v>78.64</v>
      </c>
      <c r="W95">
        <v>98</v>
      </c>
      <c r="X95" s="3">
        <v>3.4338615723328134</v>
      </c>
      <c r="Y95" s="7">
        <v>1.557151629805748E-2</v>
      </c>
      <c r="Z95">
        <v>0.60132324763023604</v>
      </c>
      <c r="AA95"/>
      <c r="AB95"/>
    </row>
    <row r="96" spans="1:28" x14ac:dyDescent="0.3">
      <c r="A96" s="1" t="s">
        <v>111</v>
      </c>
      <c r="B96" s="1" t="s">
        <v>371</v>
      </c>
      <c r="C96" s="2">
        <v>45334</v>
      </c>
      <c r="D96" s="2">
        <v>45404</v>
      </c>
      <c r="E96" s="1" t="s">
        <v>372</v>
      </c>
      <c r="F96" s="1" t="s">
        <v>380</v>
      </c>
      <c r="G96" s="1" t="s">
        <v>382</v>
      </c>
      <c r="H96" s="1" t="s">
        <v>388</v>
      </c>
      <c r="I96">
        <v>65483.62</v>
      </c>
      <c r="J96">
        <v>1000162</v>
      </c>
      <c r="K96">
        <v>3800</v>
      </c>
      <c r="L96">
        <v>1913</v>
      </c>
      <c r="M96">
        <v>247650.13</v>
      </c>
      <c r="N96" s="1" t="s">
        <v>390</v>
      </c>
      <c r="O96">
        <v>9</v>
      </c>
      <c r="P96" s="8">
        <v>3.7993844997110502E-3</v>
      </c>
      <c r="Q96" s="8">
        <v>0.50342105263157899</v>
      </c>
      <c r="R96" s="1">
        <v>34.230852064819658</v>
      </c>
      <c r="S96" s="3">
        <v>3.7818637699015416</v>
      </c>
      <c r="T96" s="1">
        <v>182166.51</v>
      </c>
      <c r="U96" s="2">
        <v>45404</v>
      </c>
      <c r="V96" s="10">
        <v>63.15</v>
      </c>
      <c r="W96">
        <v>70</v>
      </c>
      <c r="X96" s="3">
        <v>65.171086842105268</v>
      </c>
      <c r="Y96" s="7">
        <v>2.9213412453373836E-2</v>
      </c>
      <c r="Z96">
        <v>0.26441988946260597</v>
      </c>
      <c r="AA96"/>
      <c r="AB96"/>
    </row>
    <row r="97" spans="1:28" x14ac:dyDescent="0.3">
      <c r="A97" s="1" t="s">
        <v>112</v>
      </c>
      <c r="B97" s="1" t="s">
        <v>369</v>
      </c>
      <c r="C97" s="2">
        <v>45335</v>
      </c>
      <c r="D97" s="2">
        <v>45363</v>
      </c>
      <c r="E97" s="1" t="s">
        <v>373</v>
      </c>
      <c r="F97" s="1" t="s">
        <v>380</v>
      </c>
      <c r="G97" s="1" t="s">
        <v>385</v>
      </c>
      <c r="H97" s="1" t="s">
        <v>388</v>
      </c>
      <c r="I97">
        <v>63323.69</v>
      </c>
      <c r="J97">
        <v>712212</v>
      </c>
      <c r="K97">
        <v>30538</v>
      </c>
      <c r="L97">
        <v>165</v>
      </c>
      <c r="M97">
        <v>67398.11</v>
      </c>
      <c r="N97" s="1" t="s">
        <v>390</v>
      </c>
      <c r="O97">
        <v>4</v>
      </c>
      <c r="P97" s="8">
        <v>4.28776824877986E-2</v>
      </c>
      <c r="Q97" s="8">
        <v>5.4031043290326802E-3</v>
      </c>
      <c r="R97" s="1">
        <v>383.7799393939394</v>
      </c>
      <c r="S97" s="3">
        <v>1.0643427443978706</v>
      </c>
      <c r="T97" s="1">
        <v>4074.4199999999983</v>
      </c>
      <c r="U97" s="2">
        <v>45363</v>
      </c>
      <c r="V97" s="10">
        <v>77.77</v>
      </c>
      <c r="W97">
        <v>28</v>
      </c>
      <c r="X97" s="3">
        <v>2.2070243630886108</v>
      </c>
      <c r="Y97" s="7">
        <v>2.6056599039001043E-3</v>
      </c>
      <c r="Z97">
        <v>0.93954696949217098</v>
      </c>
      <c r="AA97"/>
      <c r="AB97"/>
    </row>
    <row r="98" spans="1:28" x14ac:dyDescent="0.3">
      <c r="A98" s="1" t="s">
        <v>113</v>
      </c>
      <c r="B98" s="1" t="s">
        <v>368</v>
      </c>
      <c r="C98" s="2">
        <v>45576</v>
      </c>
      <c r="D98" s="2">
        <v>45422</v>
      </c>
      <c r="E98" s="1" t="s">
        <v>374</v>
      </c>
      <c r="F98" s="1" t="s">
        <v>380</v>
      </c>
      <c r="G98" s="1" t="s">
        <v>385</v>
      </c>
      <c r="H98" s="1" t="s">
        <v>386</v>
      </c>
      <c r="I98">
        <v>11331.94</v>
      </c>
      <c r="J98">
        <v>570498</v>
      </c>
      <c r="K98">
        <v>31119</v>
      </c>
      <c r="L98">
        <v>990</v>
      </c>
      <c r="M98">
        <v>137376.97</v>
      </c>
      <c r="N98" s="1" t="s">
        <v>390</v>
      </c>
      <c r="O98">
        <v>9</v>
      </c>
      <c r="P98" s="8">
        <v>5.4547079919649098E-2</v>
      </c>
      <c r="Q98" s="8">
        <v>3.1813361611876999E-2</v>
      </c>
      <c r="R98" s="1">
        <v>11.44640404040404</v>
      </c>
      <c r="S98" s="3">
        <v>12.122987767319628</v>
      </c>
      <c r="T98" s="1">
        <v>126045.03</v>
      </c>
      <c r="U98" s="2">
        <v>45606</v>
      </c>
      <c r="V98" s="10">
        <v>18.309999999999999</v>
      </c>
      <c r="W98">
        <v>30</v>
      </c>
      <c r="X98" s="3">
        <v>4.414568912882805</v>
      </c>
      <c r="Y98" s="7">
        <v>8.7363681770288221E-2</v>
      </c>
      <c r="Z98">
        <v>8.2487916278834797E-2</v>
      </c>
      <c r="AA98"/>
      <c r="AB98"/>
    </row>
    <row r="99" spans="1:28" x14ac:dyDescent="0.3">
      <c r="A99" s="1" t="s">
        <v>114</v>
      </c>
      <c r="B99" s="1" t="s">
        <v>370</v>
      </c>
      <c r="C99" s="2">
        <v>45303</v>
      </c>
      <c r="D99" s="2">
        <v>45327</v>
      </c>
      <c r="E99" s="1" t="s">
        <v>377</v>
      </c>
      <c r="F99" s="1" t="s">
        <v>381</v>
      </c>
      <c r="G99" s="1" t="s">
        <v>384</v>
      </c>
      <c r="H99" s="1" t="s">
        <v>387</v>
      </c>
      <c r="I99">
        <v>54248.76</v>
      </c>
      <c r="J99">
        <v>1324634</v>
      </c>
      <c r="K99">
        <v>9333</v>
      </c>
      <c r="L99">
        <v>1922</v>
      </c>
      <c r="M99">
        <v>166229.76000000001</v>
      </c>
      <c r="N99" s="1" t="s">
        <v>390</v>
      </c>
      <c r="O99">
        <v>8</v>
      </c>
      <c r="P99" s="8">
        <v>7.0457197988274501E-3</v>
      </c>
      <c r="Q99" s="8">
        <v>0.20593592628308199</v>
      </c>
      <c r="R99" s="1">
        <v>28.225161290322582</v>
      </c>
      <c r="S99" s="3">
        <v>3.064213080630783</v>
      </c>
      <c r="T99" s="1">
        <v>111981</v>
      </c>
      <c r="U99" s="2">
        <v>45327</v>
      </c>
      <c r="V99" s="10">
        <v>11.34</v>
      </c>
      <c r="W99">
        <v>24</v>
      </c>
      <c r="X99" s="3">
        <v>17.810967534554806</v>
      </c>
      <c r="Y99" s="7">
        <v>3.5429381242999838E-2</v>
      </c>
      <c r="Z99">
        <v>0.32634806186329102</v>
      </c>
      <c r="AA99"/>
      <c r="AB99"/>
    </row>
    <row r="100" spans="1:28" x14ac:dyDescent="0.3">
      <c r="A100" s="1" t="s">
        <v>115</v>
      </c>
      <c r="B100" s="1" t="s">
        <v>370</v>
      </c>
      <c r="C100" s="2">
        <v>45386</v>
      </c>
      <c r="D100" s="2">
        <v>45501</v>
      </c>
      <c r="E100" s="1" t="s">
        <v>373</v>
      </c>
      <c r="F100" s="1" t="s">
        <v>381</v>
      </c>
      <c r="G100" s="1" t="s">
        <v>383</v>
      </c>
      <c r="H100" s="1" t="s">
        <v>386</v>
      </c>
      <c r="I100">
        <v>19266.060000000001</v>
      </c>
      <c r="J100">
        <v>707911</v>
      </c>
      <c r="K100">
        <v>6410</v>
      </c>
      <c r="L100">
        <v>386</v>
      </c>
      <c r="M100">
        <v>164701.88</v>
      </c>
      <c r="N100" s="1" t="s">
        <v>390</v>
      </c>
      <c r="O100">
        <v>6</v>
      </c>
      <c r="P100" s="8">
        <v>9.0548105623447003E-3</v>
      </c>
      <c r="Q100" s="8">
        <v>6.0218408736349399E-2</v>
      </c>
      <c r="R100" s="1">
        <v>49.912072538860109</v>
      </c>
      <c r="S100" s="3">
        <v>8.5488096684013222</v>
      </c>
      <c r="T100" s="1">
        <v>145435.82</v>
      </c>
      <c r="U100" s="2">
        <v>45501</v>
      </c>
      <c r="V100" s="10">
        <v>33.47</v>
      </c>
      <c r="W100">
        <v>115</v>
      </c>
      <c r="X100" s="3">
        <v>25.694521060842433</v>
      </c>
      <c r="Y100" s="7">
        <v>2.003523294332105E-2</v>
      </c>
      <c r="Z100">
        <v>0.116975349643853</v>
      </c>
      <c r="AA100"/>
      <c r="AB100"/>
    </row>
    <row r="101" spans="1:28" x14ac:dyDescent="0.3">
      <c r="A101" s="1" t="s">
        <v>116</v>
      </c>
      <c r="B101" s="1" t="s">
        <v>371</v>
      </c>
      <c r="C101" s="2">
        <v>45544</v>
      </c>
      <c r="D101" s="2">
        <v>45603</v>
      </c>
      <c r="E101" s="1" t="s">
        <v>376</v>
      </c>
      <c r="F101" s="1" t="s">
        <v>378</v>
      </c>
      <c r="G101" s="1" t="s">
        <v>385</v>
      </c>
      <c r="H101" s="1" t="s">
        <v>386</v>
      </c>
      <c r="I101">
        <v>75056.210000000006</v>
      </c>
      <c r="J101">
        <v>908379</v>
      </c>
      <c r="K101">
        <v>18839</v>
      </c>
      <c r="L101">
        <v>930</v>
      </c>
      <c r="M101">
        <v>144710.45000000001</v>
      </c>
      <c r="N101" s="1" t="s">
        <v>391</v>
      </c>
      <c r="O101">
        <v>6</v>
      </c>
      <c r="P101" s="8">
        <v>2.0739140821177102E-2</v>
      </c>
      <c r="Q101" s="8">
        <v>4.9365677583735897E-2</v>
      </c>
      <c r="R101" s="1">
        <v>80.705602150537644</v>
      </c>
      <c r="S101" s="3">
        <v>1.9280276741924485</v>
      </c>
      <c r="T101" s="1">
        <v>69654.240000000005</v>
      </c>
      <c r="U101" s="2">
        <v>45603</v>
      </c>
      <c r="V101" s="10">
        <v>15.92</v>
      </c>
      <c r="W101">
        <v>59</v>
      </c>
      <c r="X101" s="3">
        <v>7.6814294813949795</v>
      </c>
      <c r="Y101" s="7">
        <v>1.239071357320067E-2</v>
      </c>
      <c r="Z101">
        <v>0.51866475434220505</v>
      </c>
      <c r="AA101"/>
      <c r="AB101"/>
    </row>
    <row r="102" spans="1:28" x14ac:dyDescent="0.3">
      <c r="A102" s="1" t="s">
        <v>117</v>
      </c>
      <c r="B102" s="1" t="s">
        <v>367</v>
      </c>
      <c r="C102" s="2">
        <v>45533</v>
      </c>
      <c r="D102" s="2">
        <v>45547</v>
      </c>
      <c r="E102" s="1" t="s">
        <v>375</v>
      </c>
      <c r="F102" s="1" t="s">
        <v>380</v>
      </c>
      <c r="G102" s="1" t="s">
        <v>385</v>
      </c>
      <c r="H102" s="1" t="s">
        <v>388</v>
      </c>
      <c r="I102">
        <v>53661.08</v>
      </c>
      <c r="J102">
        <v>1683865</v>
      </c>
      <c r="K102">
        <v>31519</v>
      </c>
      <c r="L102">
        <v>786</v>
      </c>
      <c r="M102">
        <v>196462.72</v>
      </c>
      <c r="N102" s="1" t="s">
        <v>391</v>
      </c>
      <c r="O102">
        <v>5</v>
      </c>
      <c r="P102" s="8">
        <v>1.8718246415241099E-2</v>
      </c>
      <c r="Q102" s="8">
        <v>2.4937339382594601E-2</v>
      </c>
      <c r="R102" s="1">
        <v>68.271094147582701</v>
      </c>
      <c r="S102" s="3">
        <v>3.661177151112128</v>
      </c>
      <c r="T102" s="1">
        <v>142801.64000000001</v>
      </c>
      <c r="U102" s="2">
        <v>45547</v>
      </c>
      <c r="V102" s="10">
        <v>67.569999999999993</v>
      </c>
      <c r="W102">
        <v>14</v>
      </c>
      <c r="X102" s="3">
        <v>6.233152067007202</v>
      </c>
      <c r="Y102" s="7">
        <v>1.4647487527273025E-2</v>
      </c>
      <c r="Z102">
        <v>0.27313619601723899</v>
      </c>
      <c r="AA102"/>
      <c r="AB102"/>
    </row>
    <row r="103" spans="1:28" x14ac:dyDescent="0.3">
      <c r="A103" s="1" t="s">
        <v>118</v>
      </c>
      <c r="B103" s="1" t="s">
        <v>371</v>
      </c>
      <c r="C103" s="2">
        <v>45326</v>
      </c>
      <c r="D103" s="2">
        <v>45550</v>
      </c>
      <c r="E103" s="1" t="s">
        <v>372</v>
      </c>
      <c r="F103" s="1" t="s">
        <v>379</v>
      </c>
      <c r="G103" s="1" t="s">
        <v>382</v>
      </c>
      <c r="H103" s="1" t="s">
        <v>388</v>
      </c>
      <c r="I103">
        <v>69621.64</v>
      </c>
      <c r="J103">
        <v>1278807</v>
      </c>
      <c r="K103">
        <v>6808</v>
      </c>
      <c r="L103">
        <v>1937</v>
      </c>
      <c r="M103">
        <v>59195.49</v>
      </c>
      <c r="N103" s="1" t="s">
        <v>391</v>
      </c>
      <c r="O103">
        <v>4</v>
      </c>
      <c r="P103" s="8">
        <v>5.3237118658249396E-3</v>
      </c>
      <c r="Q103" s="8">
        <v>0.28451821386603998</v>
      </c>
      <c r="R103" s="1">
        <v>35.943025296850799</v>
      </c>
      <c r="S103" s="3">
        <v>0.85024555583580042</v>
      </c>
      <c r="T103" s="1">
        <v>-10426.150000000001</v>
      </c>
      <c r="U103" s="2">
        <v>45550</v>
      </c>
      <c r="V103" s="10">
        <v>45.74</v>
      </c>
      <c r="W103">
        <v>224</v>
      </c>
      <c r="X103" s="3">
        <v>8.6949897179788476</v>
      </c>
      <c r="Y103" s="7">
        <v>2.7821809425919872E-2</v>
      </c>
      <c r="Z103">
        <v>1.17613081672269</v>
      </c>
      <c r="AA103"/>
      <c r="AB103"/>
    </row>
    <row r="104" spans="1:28" x14ac:dyDescent="0.3">
      <c r="A104" s="1" t="s">
        <v>119</v>
      </c>
      <c r="B104" s="1" t="s">
        <v>367</v>
      </c>
      <c r="C104" s="2">
        <v>45506</v>
      </c>
      <c r="D104" s="2">
        <v>45610</v>
      </c>
      <c r="E104" s="1" t="s">
        <v>374</v>
      </c>
      <c r="F104" s="1" t="s">
        <v>381</v>
      </c>
      <c r="G104" s="1" t="s">
        <v>382</v>
      </c>
      <c r="H104" s="1" t="s">
        <v>386</v>
      </c>
      <c r="I104">
        <v>8958.93</v>
      </c>
      <c r="J104">
        <v>172775</v>
      </c>
      <c r="K104">
        <v>7796</v>
      </c>
      <c r="L104">
        <v>889</v>
      </c>
      <c r="M104">
        <v>184150.53</v>
      </c>
      <c r="N104" s="1" t="s">
        <v>391</v>
      </c>
      <c r="O104">
        <v>8</v>
      </c>
      <c r="P104" s="8">
        <v>4.5122268846765998E-2</v>
      </c>
      <c r="Q104" s="8">
        <v>0.114032837352488</v>
      </c>
      <c r="R104" s="1">
        <v>10.077536557930259</v>
      </c>
      <c r="S104" s="3">
        <v>20.554969176006509</v>
      </c>
      <c r="T104" s="1">
        <v>175191.6</v>
      </c>
      <c r="U104" s="2">
        <v>45610</v>
      </c>
      <c r="V104" s="10">
        <v>74.900000000000006</v>
      </c>
      <c r="W104">
        <v>104</v>
      </c>
      <c r="X104" s="3">
        <v>23.621155720882502</v>
      </c>
      <c r="Y104" s="7">
        <v>9.923060008282239E-2</v>
      </c>
      <c r="Z104">
        <v>4.8650036467448698E-2</v>
      </c>
      <c r="AA104"/>
      <c r="AB104"/>
    </row>
    <row r="105" spans="1:28" x14ac:dyDescent="0.3">
      <c r="A105" s="1" t="s">
        <v>120</v>
      </c>
      <c r="B105" s="1" t="s">
        <v>370</v>
      </c>
      <c r="C105" s="2">
        <v>45381</v>
      </c>
      <c r="D105" s="2">
        <v>45471</v>
      </c>
      <c r="E105" s="1" t="s">
        <v>372</v>
      </c>
      <c r="F105" s="1" t="s">
        <v>380</v>
      </c>
      <c r="G105" s="1" t="s">
        <v>383</v>
      </c>
      <c r="H105" s="1" t="s">
        <v>387</v>
      </c>
      <c r="I105">
        <v>13055.24</v>
      </c>
      <c r="J105">
        <v>1019211</v>
      </c>
      <c r="K105">
        <v>22180</v>
      </c>
      <c r="L105">
        <v>196</v>
      </c>
      <c r="M105">
        <v>158736.29999999999</v>
      </c>
      <c r="N105" s="1" t="s">
        <v>389</v>
      </c>
      <c r="O105">
        <v>6</v>
      </c>
      <c r="P105" s="8">
        <v>2.1761931533313499E-2</v>
      </c>
      <c r="Q105" s="8">
        <v>8.8367899008115394E-3</v>
      </c>
      <c r="R105" s="1">
        <v>66.608367346938778</v>
      </c>
      <c r="S105" s="3">
        <v>12.158818987624892</v>
      </c>
      <c r="T105" s="1">
        <v>145681.06</v>
      </c>
      <c r="U105" s="2">
        <v>45471</v>
      </c>
      <c r="V105" s="10">
        <v>31.17</v>
      </c>
      <c r="W105">
        <v>90</v>
      </c>
      <c r="X105" s="3">
        <v>7.1567312894499544</v>
      </c>
      <c r="Y105" s="7">
        <v>1.5013128827964864E-2</v>
      </c>
      <c r="Z105">
        <v>8.2244829947529394E-2</v>
      </c>
      <c r="AA105"/>
      <c r="AB105"/>
    </row>
    <row r="106" spans="1:28" x14ac:dyDescent="0.3">
      <c r="A106" s="1" t="s">
        <v>121</v>
      </c>
      <c r="B106" s="1" t="s">
        <v>371</v>
      </c>
      <c r="C106" s="2">
        <v>45555</v>
      </c>
      <c r="D106" s="2">
        <v>45598</v>
      </c>
      <c r="E106" s="1" t="s">
        <v>376</v>
      </c>
      <c r="F106" s="1" t="s">
        <v>380</v>
      </c>
      <c r="G106" s="1" t="s">
        <v>385</v>
      </c>
      <c r="H106" s="1" t="s">
        <v>388</v>
      </c>
      <c r="I106">
        <v>73050.720000000001</v>
      </c>
      <c r="J106">
        <v>1656107</v>
      </c>
      <c r="K106">
        <v>44056</v>
      </c>
      <c r="L106">
        <v>1648</v>
      </c>
      <c r="M106">
        <v>225058.03</v>
      </c>
      <c r="N106" s="1" t="s">
        <v>391</v>
      </c>
      <c r="O106">
        <v>6</v>
      </c>
      <c r="P106" s="8">
        <v>2.6602145875840099E-2</v>
      </c>
      <c r="Q106" s="8">
        <v>3.7406936626112199E-2</v>
      </c>
      <c r="R106" s="1">
        <v>44.326893203883493</v>
      </c>
      <c r="S106" s="3">
        <v>3.0808461573000239</v>
      </c>
      <c r="T106" s="1">
        <v>152007.31</v>
      </c>
      <c r="U106" s="2">
        <v>45598</v>
      </c>
      <c r="V106" s="10">
        <v>40.1</v>
      </c>
      <c r="W106">
        <v>43</v>
      </c>
      <c r="X106" s="3">
        <v>5.1084535591065912</v>
      </c>
      <c r="Y106" s="7">
        <v>2.2559668131949966E-2</v>
      </c>
      <c r="Z106">
        <v>0.32458615229147803</v>
      </c>
      <c r="AA106"/>
      <c r="AB106"/>
    </row>
    <row r="107" spans="1:28" x14ac:dyDescent="0.3">
      <c r="A107" s="1" t="s">
        <v>122</v>
      </c>
      <c r="B107" s="1" t="s">
        <v>368</v>
      </c>
      <c r="C107" s="2">
        <v>45384</v>
      </c>
      <c r="D107" s="2">
        <v>45519</v>
      </c>
      <c r="E107" s="1" t="s">
        <v>372</v>
      </c>
      <c r="F107" s="1" t="s">
        <v>381</v>
      </c>
      <c r="G107" s="1" t="s">
        <v>385</v>
      </c>
      <c r="H107" s="1" t="s">
        <v>387</v>
      </c>
      <c r="I107">
        <v>11848.01</v>
      </c>
      <c r="J107">
        <v>727160</v>
      </c>
      <c r="K107">
        <v>18709</v>
      </c>
      <c r="L107">
        <v>1879</v>
      </c>
      <c r="M107">
        <v>213326.67</v>
      </c>
      <c r="N107" s="1" t="s">
        <v>390</v>
      </c>
      <c r="O107">
        <v>8</v>
      </c>
      <c r="P107" s="8">
        <v>2.57288629737609E-2</v>
      </c>
      <c r="Q107" s="8">
        <v>0.10043294671014</v>
      </c>
      <c r="R107" s="1">
        <v>6.3054869611495477</v>
      </c>
      <c r="S107" s="3">
        <v>18.005274303448427</v>
      </c>
      <c r="T107" s="1">
        <v>201478.66</v>
      </c>
      <c r="U107" s="2">
        <v>45519</v>
      </c>
      <c r="V107" s="10">
        <v>23</v>
      </c>
      <c r="W107">
        <v>135</v>
      </c>
      <c r="X107" s="3">
        <v>11.402355550804426</v>
      </c>
      <c r="Y107" s="7">
        <v>0.15859203359889129</v>
      </c>
      <c r="Z107">
        <v>5.5539281609748997E-2</v>
      </c>
      <c r="AA107"/>
      <c r="AB107"/>
    </row>
    <row r="108" spans="1:28" x14ac:dyDescent="0.3">
      <c r="A108" s="1" t="s">
        <v>123</v>
      </c>
      <c r="B108" s="1" t="s">
        <v>369</v>
      </c>
      <c r="C108" s="2">
        <v>45381</v>
      </c>
      <c r="D108" s="2">
        <v>45391</v>
      </c>
      <c r="E108" s="1" t="s">
        <v>374</v>
      </c>
      <c r="F108" s="1" t="s">
        <v>378</v>
      </c>
      <c r="G108" s="1" t="s">
        <v>382</v>
      </c>
      <c r="H108" s="1" t="s">
        <v>387</v>
      </c>
      <c r="I108">
        <v>11769.39</v>
      </c>
      <c r="J108">
        <v>1960947</v>
      </c>
      <c r="K108">
        <v>18543</v>
      </c>
      <c r="L108">
        <v>1396</v>
      </c>
      <c r="M108">
        <v>85635.29</v>
      </c>
      <c r="N108" s="1" t="s">
        <v>391</v>
      </c>
      <c r="O108">
        <v>9</v>
      </c>
      <c r="P108" s="8">
        <v>9.4561454236142001E-3</v>
      </c>
      <c r="Q108" s="8">
        <v>7.5284473925470496E-2</v>
      </c>
      <c r="R108" s="1">
        <v>8.4307951289398275</v>
      </c>
      <c r="S108" s="3">
        <v>7.2761026697220501</v>
      </c>
      <c r="T108" s="1">
        <v>73865.899999999994</v>
      </c>
      <c r="U108" s="2">
        <v>45391</v>
      </c>
      <c r="V108" s="10">
        <v>55.99</v>
      </c>
      <c r="W108">
        <v>10</v>
      </c>
      <c r="X108" s="3">
        <v>4.6182003990724256</v>
      </c>
      <c r="Y108" s="7">
        <v>0.11861277432390295</v>
      </c>
      <c r="Z108">
        <v>0.13743621350497001</v>
      </c>
      <c r="AA108"/>
      <c r="AB108"/>
    </row>
    <row r="109" spans="1:28" x14ac:dyDescent="0.3">
      <c r="A109" s="1" t="s">
        <v>124</v>
      </c>
      <c r="B109" s="1" t="s">
        <v>367</v>
      </c>
      <c r="C109" s="2">
        <v>45406</v>
      </c>
      <c r="D109" s="2">
        <v>45433</v>
      </c>
      <c r="E109" s="1" t="s">
        <v>376</v>
      </c>
      <c r="F109" s="1" t="s">
        <v>381</v>
      </c>
      <c r="G109" s="1" t="s">
        <v>385</v>
      </c>
      <c r="H109" s="1" t="s">
        <v>386</v>
      </c>
      <c r="I109">
        <v>6150.31</v>
      </c>
      <c r="J109">
        <v>369972</v>
      </c>
      <c r="K109">
        <v>38418</v>
      </c>
      <c r="L109">
        <v>492</v>
      </c>
      <c r="M109">
        <v>76296.960000000006</v>
      </c>
      <c r="N109" s="1" t="s">
        <v>389</v>
      </c>
      <c r="O109">
        <v>9</v>
      </c>
      <c r="P109" s="8">
        <v>0.10384029061658701</v>
      </c>
      <c r="Q109" s="8">
        <v>1.2806496954552601E-2</v>
      </c>
      <c r="R109" s="1">
        <v>12.500630081300814</v>
      </c>
      <c r="S109" s="3">
        <v>12.405384444036155</v>
      </c>
      <c r="T109" s="1">
        <v>70146.650000000009</v>
      </c>
      <c r="U109" s="2">
        <v>45433</v>
      </c>
      <c r="V109" s="10">
        <v>78.14</v>
      </c>
      <c r="W109">
        <v>27</v>
      </c>
      <c r="X109" s="3">
        <v>1.9859690769951588</v>
      </c>
      <c r="Y109" s="7">
        <v>7.9995967682929797E-2</v>
      </c>
      <c r="Z109">
        <v>8.06101579931887E-2</v>
      </c>
      <c r="AA109"/>
      <c r="AB109"/>
    </row>
    <row r="110" spans="1:28" x14ac:dyDescent="0.3">
      <c r="A110" s="1" t="s">
        <v>125</v>
      </c>
      <c r="B110" s="1" t="s">
        <v>369</v>
      </c>
      <c r="C110" s="2">
        <v>45396</v>
      </c>
      <c r="D110" s="2">
        <v>45325</v>
      </c>
      <c r="E110" s="1" t="s">
        <v>372</v>
      </c>
      <c r="F110" s="1" t="s">
        <v>381</v>
      </c>
      <c r="G110" s="1" t="s">
        <v>384</v>
      </c>
      <c r="H110" s="1" t="s">
        <v>386</v>
      </c>
      <c r="I110">
        <v>95867.63</v>
      </c>
      <c r="J110">
        <v>1360292</v>
      </c>
      <c r="K110">
        <v>30075</v>
      </c>
      <c r="L110">
        <v>886</v>
      </c>
      <c r="M110">
        <v>245596.79999999999</v>
      </c>
      <c r="N110" s="1" t="s">
        <v>390</v>
      </c>
      <c r="O110">
        <v>4</v>
      </c>
      <c r="P110" s="8">
        <v>2.2109223607872399E-2</v>
      </c>
      <c r="Q110" s="8">
        <v>2.9459684123025801E-2</v>
      </c>
      <c r="R110" s="1">
        <v>108.20274266365689</v>
      </c>
      <c r="S110" s="3">
        <v>2.5618323932697615</v>
      </c>
      <c r="T110" s="1">
        <v>149729.16999999998</v>
      </c>
      <c r="U110" s="2">
        <v>45426</v>
      </c>
      <c r="V110" s="10">
        <v>13.47</v>
      </c>
      <c r="W110">
        <v>30</v>
      </c>
      <c r="X110" s="3">
        <v>8.1661446384039902</v>
      </c>
      <c r="Y110" s="7">
        <v>9.241909912657692E-3</v>
      </c>
      <c r="Z110">
        <v>0.39034559896545901</v>
      </c>
      <c r="AA110"/>
      <c r="AB110"/>
    </row>
    <row r="111" spans="1:28" x14ac:dyDescent="0.3">
      <c r="A111" s="1" t="s">
        <v>126</v>
      </c>
      <c r="B111" s="1" t="s">
        <v>369</v>
      </c>
      <c r="C111" s="2">
        <v>45487</v>
      </c>
      <c r="D111" s="2">
        <v>45416</v>
      </c>
      <c r="E111" s="1" t="s">
        <v>375</v>
      </c>
      <c r="F111" s="1" t="s">
        <v>379</v>
      </c>
      <c r="G111" s="1" t="s">
        <v>382</v>
      </c>
      <c r="H111" s="1" t="s">
        <v>386</v>
      </c>
      <c r="I111">
        <v>75063.289999999994</v>
      </c>
      <c r="J111">
        <v>1499031</v>
      </c>
      <c r="K111">
        <v>38755</v>
      </c>
      <c r="L111">
        <v>1086</v>
      </c>
      <c r="M111">
        <v>136543.64000000001</v>
      </c>
      <c r="N111" s="1" t="s">
        <v>391</v>
      </c>
      <c r="O111">
        <v>5</v>
      </c>
      <c r="P111" s="8">
        <v>2.5853367942357399E-2</v>
      </c>
      <c r="Q111" s="8">
        <v>2.80221906850729E-2</v>
      </c>
      <c r="R111" s="1">
        <v>69.119051565377532</v>
      </c>
      <c r="S111" s="3">
        <v>1.8190468336786201</v>
      </c>
      <c r="T111" s="1">
        <v>61480.35000000002</v>
      </c>
      <c r="U111" s="2">
        <v>45517</v>
      </c>
      <c r="V111" s="10">
        <v>57.43</v>
      </c>
      <c r="W111">
        <v>30</v>
      </c>
      <c r="X111" s="3">
        <v>3.5232522255192884</v>
      </c>
      <c r="Y111" s="7">
        <v>1.4467791113339158E-2</v>
      </c>
      <c r="Z111">
        <v>0.54973845724341297</v>
      </c>
      <c r="AA111"/>
      <c r="AB111"/>
    </row>
    <row r="112" spans="1:28" x14ac:dyDescent="0.3">
      <c r="A112" s="1" t="s">
        <v>127</v>
      </c>
      <c r="B112" s="1" t="s">
        <v>371</v>
      </c>
      <c r="C112" s="2">
        <v>45405</v>
      </c>
      <c r="D112" s="2">
        <v>45473</v>
      </c>
      <c r="E112" s="1" t="s">
        <v>377</v>
      </c>
      <c r="F112" s="1" t="s">
        <v>379</v>
      </c>
      <c r="G112" s="1" t="s">
        <v>383</v>
      </c>
      <c r="H112" s="1" t="s">
        <v>386</v>
      </c>
      <c r="I112">
        <v>38558.879999999997</v>
      </c>
      <c r="J112">
        <v>318854</v>
      </c>
      <c r="K112">
        <v>48968</v>
      </c>
      <c r="L112">
        <v>992</v>
      </c>
      <c r="M112">
        <v>227541.03</v>
      </c>
      <c r="N112" s="1" t="s">
        <v>391</v>
      </c>
      <c r="O112">
        <v>6</v>
      </c>
      <c r="P112" s="8">
        <v>0.15357499043449399</v>
      </c>
      <c r="Q112" s="8">
        <v>2.02581277569025E-2</v>
      </c>
      <c r="R112" s="1">
        <v>38.869838709677417</v>
      </c>
      <c r="S112" s="3">
        <v>5.9011317237430134</v>
      </c>
      <c r="T112" s="1">
        <v>188982.15</v>
      </c>
      <c r="U112" s="2">
        <v>45473</v>
      </c>
      <c r="V112" s="10">
        <v>30.4</v>
      </c>
      <c r="W112">
        <v>68</v>
      </c>
      <c r="X112" s="3">
        <v>4.6467290883842507</v>
      </c>
      <c r="Y112" s="7">
        <v>2.5726888332856142E-2</v>
      </c>
      <c r="Z112">
        <v>0.169459020203961</v>
      </c>
      <c r="AA112"/>
      <c r="AB112"/>
    </row>
    <row r="113" spans="1:28" x14ac:dyDescent="0.3">
      <c r="A113" s="1" t="s">
        <v>128</v>
      </c>
      <c r="B113" s="1" t="s">
        <v>369</v>
      </c>
      <c r="C113" s="2">
        <v>45366</v>
      </c>
      <c r="D113" s="2">
        <v>45458</v>
      </c>
      <c r="E113" s="1" t="s">
        <v>376</v>
      </c>
      <c r="F113" s="1" t="s">
        <v>378</v>
      </c>
      <c r="G113" s="1" t="s">
        <v>382</v>
      </c>
      <c r="H113" s="1" t="s">
        <v>388</v>
      </c>
      <c r="I113">
        <v>33170.879999999997</v>
      </c>
      <c r="J113">
        <v>464600</v>
      </c>
      <c r="K113">
        <v>38465</v>
      </c>
      <c r="L113">
        <v>1567</v>
      </c>
      <c r="M113">
        <v>49331.45</v>
      </c>
      <c r="N113" s="1" t="s">
        <v>391</v>
      </c>
      <c r="O113">
        <v>5</v>
      </c>
      <c r="P113" s="8">
        <v>8.27916487300904E-2</v>
      </c>
      <c r="Q113" s="8">
        <v>4.07383335499805E-2</v>
      </c>
      <c r="R113" s="1">
        <v>21.168398213146137</v>
      </c>
      <c r="S113" s="3">
        <v>1.4871914763792822</v>
      </c>
      <c r="T113" s="1">
        <v>16160.57</v>
      </c>
      <c r="U113" s="2">
        <v>45458</v>
      </c>
      <c r="V113" s="10">
        <v>16.09</v>
      </c>
      <c r="W113">
        <v>92</v>
      </c>
      <c r="X113" s="3">
        <v>1.2825022747952683</v>
      </c>
      <c r="Y113" s="7">
        <v>4.7240229984854186E-2</v>
      </c>
      <c r="Z113">
        <v>0.67240837234664697</v>
      </c>
      <c r="AA113"/>
      <c r="AB113"/>
    </row>
    <row r="114" spans="1:28" x14ac:dyDescent="0.3">
      <c r="A114" s="1" t="s">
        <v>129</v>
      </c>
      <c r="B114" s="1" t="s">
        <v>368</v>
      </c>
      <c r="C114" s="2">
        <v>45508</v>
      </c>
      <c r="D114" s="2">
        <v>45568</v>
      </c>
      <c r="E114" s="1" t="s">
        <v>377</v>
      </c>
      <c r="F114" s="1" t="s">
        <v>380</v>
      </c>
      <c r="G114" s="1" t="s">
        <v>385</v>
      </c>
      <c r="H114" s="1" t="s">
        <v>388</v>
      </c>
      <c r="I114">
        <v>38221.81</v>
      </c>
      <c r="J114">
        <v>221918</v>
      </c>
      <c r="K114">
        <v>31502</v>
      </c>
      <c r="L114">
        <v>1774</v>
      </c>
      <c r="M114">
        <v>164276.54</v>
      </c>
      <c r="N114" s="1" t="s">
        <v>390</v>
      </c>
      <c r="O114">
        <v>9</v>
      </c>
      <c r="P114" s="8">
        <v>0.141953334114403</v>
      </c>
      <c r="Q114" s="8">
        <v>5.6313884832709001E-2</v>
      </c>
      <c r="R114" s="1">
        <v>21.545552423900787</v>
      </c>
      <c r="S114" s="3">
        <v>4.2979790857628153</v>
      </c>
      <c r="T114" s="1">
        <v>126054.73000000001</v>
      </c>
      <c r="U114" s="2">
        <v>45568</v>
      </c>
      <c r="V114" s="10">
        <v>51.95</v>
      </c>
      <c r="W114">
        <v>60</v>
      </c>
      <c r="X114" s="3">
        <v>5.2147971557361439</v>
      </c>
      <c r="Y114" s="7">
        <v>4.6413291259623762E-2</v>
      </c>
      <c r="Z114">
        <v>0.23266748861401601</v>
      </c>
      <c r="AA114"/>
      <c r="AB114"/>
    </row>
    <row r="115" spans="1:28" x14ac:dyDescent="0.3">
      <c r="A115" s="1" t="s">
        <v>130</v>
      </c>
      <c r="B115" s="1" t="s">
        <v>369</v>
      </c>
      <c r="C115" s="2">
        <v>45568</v>
      </c>
      <c r="D115" s="2">
        <v>45564</v>
      </c>
      <c r="E115" s="1" t="s">
        <v>376</v>
      </c>
      <c r="F115" s="1" t="s">
        <v>381</v>
      </c>
      <c r="G115" s="1" t="s">
        <v>383</v>
      </c>
      <c r="H115" s="1" t="s">
        <v>386</v>
      </c>
      <c r="I115">
        <v>78592.09</v>
      </c>
      <c r="J115">
        <v>269055</v>
      </c>
      <c r="K115">
        <v>17724</v>
      </c>
      <c r="L115">
        <v>336</v>
      </c>
      <c r="M115">
        <v>204366.44</v>
      </c>
      <c r="N115" s="1" t="s">
        <v>390</v>
      </c>
      <c r="O115">
        <v>9</v>
      </c>
      <c r="P115" s="8">
        <v>6.5875006968835401E-2</v>
      </c>
      <c r="Q115" s="8">
        <v>1.8957345971564E-2</v>
      </c>
      <c r="R115" s="1">
        <v>233.90502976190476</v>
      </c>
      <c r="S115" s="3">
        <v>2.6003436223670855</v>
      </c>
      <c r="T115" s="1">
        <v>125774.35</v>
      </c>
      <c r="U115" s="2">
        <v>45598</v>
      </c>
      <c r="V115" s="10">
        <v>31.45</v>
      </c>
      <c r="W115">
        <v>30</v>
      </c>
      <c r="X115" s="3">
        <v>11.530491988264501</v>
      </c>
      <c r="Y115" s="7">
        <v>4.2752394038636718E-3</v>
      </c>
      <c r="Z115">
        <v>0.38456455962143299</v>
      </c>
      <c r="AA115"/>
      <c r="AB115"/>
    </row>
    <row r="116" spans="1:28" x14ac:dyDescent="0.3">
      <c r="A116" s="1" t="s">
        <v>131</v>
      </c>
      <c r="B116" s="1" t="s">
        <v>371</v>
      </c>
      <c r="C116" s="2">
        <v>45540</v>
      </c>
      <c r="D116" s="2">
        <v>45352</v>
      </c>
      <c r="E116" s="1" t="s">
        <v>375</v>
      </c>
      <c r="F116" s="1" t="s">
        <v>378</v>
      </c>
      <c r="G116" s="1" t="s">
        <v>382</v>
      </c>
      <c r="H116" s="1" t="s">
        <v>388</v>
      </c>
      <c r="I116">
        <v>67830.210000000006</v>
      </c>
      <c r="J116">
        <v>1398711</v>
      </c>
      <c r="K116">
        <v>4828</v>
      </c>
      <c r="L116">
        <v>769</v>
      </c>
      <c r="M116">
        <v>237374.86</v>
      </c>
      <c r="N116" s="1" t="s">
        <v>389</v>
      </c>
      <c r="O116">
        <v>7</v>
      </c>
      <c r="P116" s="8">
        <v>3.4517495036501498E-3</v>
      </c>
      <c r="Q116" s="8">
        <v>0.15927920463960199</v>
      </c>
      <c r="R116" s="1">
        <v>88.205734720416132</v>
      </c>
      <c r="S116" s="3">
        <v>3.4995448193363985</v>
      </c>
      <c r="T116" s="1">
        <v>169544.64999999997</v>
      </c>
      <c r="U116" s="2">
        <v>45570</v>
      </c>
      <c r="V116" s="10">
        <v>71.8</v>
      </c>
      <c r="W116">
        <v>30</v>
      </c>
      <c r="X116" s="3">
        <v>49.166292460646225</v>
      </c>
      <c r="Y116" s="7">
        <v>1.1337131346047725E-2</v>
      </c>
      <c r="Z116">
        <v>0.28575144815251302</v>
      </c>
      <c r="AA116"/>
      <c r="AB116"/>
    </row>
    <row r="117" spans="1:28" x14ac:dyDescent="0.3">
      <c r="A117" s="1" t="s">
        <v>132</v>
      </c>
      <c r="B117" s="1" t="s">
        <v>368</v>
      </c>
      <c r="C117" s="2">
        <v>45455</v>
      </c>
      <c r="D117" s="2">
        <v>45361</v>
      </c>
      <c r="E117" s="1" t="s">
        <v>377</v>
      </c>
      <c r="F117" s="1" t="s">
        <v>379</v>
      </c>
      <c r="G117" s="1" t="s">
        <v>384</v>
      </c>
      <c r="H117" s="1" t="s">
        <v>386</v>
      </c>
      <c r="I117">
        <v>22593.58</v>
      </c>
      <c r="J117">
        <v>784417</v>
      </c>
      <c r="K117">
        <v>18087</v>
      </c>
      <c r="L117">
        <v>1187</v>
      </c>
      <c r="M117">
        <v>90961.63</v>
      </c>
      <c r="N117" s="1" t="s">
        <v>390</v>
      </c>
      <c r="O117">
        <v>4</v>
      </c>
      <c r="P117" s="8">
        <v>2.30578888524853E-2</v>
      </c>
      <c r="Q117" s="8">
        <v>6.5627246088350702E-2</v>
      </c>
      <c r="R117" s="1">
        <v>19.03418702611626</v>
      </c>
      <c r="S117" s="3">
        <v>4.0259945524348062</v>
      </c>
      <c r="T117" s="1">
        <v>68368.05</v>
      </c>
      <c r="U117" s="2">
        <v>45485</v>
      </c>
      <c r="V117" s="10">
        <v>29.49</v>
      </c>
      <c r="W117">
        <v>30</v>
      </c>
      <c r="X117" s="3">
        <v>5.0291164925084315</v>
      </c>
      <c r="Y117" s="7">
        <v>5.253704813491266E-2</v>
      </c>
      <c r="Z117">
        <v>0.24838583037705</v>
      </c>
      <c r="AA117"/>
      <c r="AB117"/>
    </row>
    <row r="118" spans="1:28" x14ac:dyDescent="0.3">
      <c r="A118" s="1" t="s">
        <v>133</v>
      </c>
      <c r="B118" s="1" t="s">
        <v>370</v>
      </c>
      <c r="C118" s="2">
        <v>45483</v>
      </c>
      <c r="D118" s="2">
        <v>45550</v>
      </c>
      <c r="E118" s="1" t="s">
        <v>373</v>
      </c>
      <c r="F118" s="1" t="s">
        <v>381</v>
      </c>
      <c r="G118" s="1" t="s">
        <v>384</v>
      </c>
      <c r="H118" s="1" t="s">
        <v>387</v>
      </c>
      <c r="I118">
        <v>21540.39</v>
      </c>
      <c r="J118">
        <v>1080697</v>
      </c>
      <c r="K118">
        <v>13605</v>
      </c>
      <c r="L118">
        <v>529</v>
      </c>
      <c r="M118">
        <v>183995.48</v>
      </c>
      <c r="N118" s="1" t="s">
        <v>390</v>
      </c>
      <c r="O118">
        <v>7</v>
      </c>
      <c r="P118" s="8">
        <v>1.25890975916469E-2</v>
      </c>
      <c r="Q118" s="8">
        <v>3.8882763689819903E-2</v>
      </c>
      <c r="R118" s="1">
        <v>40.719073724007558</v>
      </c>
      <c r="S118" s="3">
        <v>8.5418824821649011</v>
      </c>
      <c r="T118" s="1">
        <v>162455.09000000003</v>
      </c>
      <c r="U118" s="2">
        <v>45550</v>
      </c>
      <c r="V118" s="10">
        <v>40.78</v>
      </c>
      <c r="W118">
        <v>67</v>
      </c>
      <c r="X118" s="3">
        <v>13.52410731348769</v>
      </c>
      <c r="Y118" s="7">
        <v>2.4558515421494224E-2</v>
      </c>
      <c r="Z118">
        <v>0.11707021281174999</v>
      </c>
      <c r="AA118"/>
      <c r="AB118"/>
    </row>
    <row r="119" spans="1:28" x14ac:dyDescent="0.3">
      <c r="A119" s="1" t="s">
        <v>134</v>
      </c>
      <c r="B119" s="1" t="s">
        <v>369</v>
      </c>
      <c r="C119" s="2">
        <v>45518</v>
      </c>
      <c r="D119" s="2">
        <v>45357</v>
      </c>
      <c r="E119" s="1" t="s">
        <v>374</v>
      </c>
      <c r="F119" s="1" t="s">
        <v>380</v>
      </c>
      <c r="G119" s="1" t="s">
        <v>382</v>
      </c>
      <c r="H119" s="1" t="s">
        <v>387</v>
      </c>
      <c r="I119">
        <v>14347.59</v>
      </c>
      <c r="J119">
        <v>1498763</v>
      </c>
      <c r="K119">
        <v>32337</v>
      </c>
      <c r="L119">
        <v>71</v>
      </c>
      <c r="M119">
        <v>139315.12</v>
      </c>
      <c r="N119" s="1" t="s">
        <v>391</v>
      </c>
      <c r="O119">
        <v>7</v>
      </c>
      <c r="P119" s="8">
        <v>2.1575792837159699E-2</v>
      </c>
      <c r="Q119" s="8">
        <v>2.19562729999691E-3</v>
      </c>
      <c r="R119" s="1">
        <v>202.0787323943662</v>
      </c>
      <c r="S119" s="3">
        <v>9.7100014706302584</v>
      </c>
      <c r="T119" s="1">
        <v>124967.53</v>
      </c>
      <c r="U119" s="2">
        <v>45548</v>
      </c>
      <c r="V119" s="10">
        <v>10.050000000000001</v>
      </c>
      <c r="W119">
        <v>30</v>
      </c>
      <c r="X119" s="3">
        <v>4.3082264897795097</v>
      </c>
      <c r="Y119" s="7">
        <v>4.9485662748935538E-3</v>
      </c>
      <c r="Z119">
        <v>0.102986596142615</v>
      </c>
      <c r="AA119"/>
      <c r="AB119"/>
    </row>
    <row r="120" spans="1:28" x14ac:dyDescent="0.3">
      <c r="A120" s="1" t="s">
        <v>135</v>
      </c>
      <c r="B120" s="1" t="s">
        <v>371</v>
      </c>
      <c r="C120" s="2">
        <v>45468</v>
      </c>
      <c r="D120" s="2">
        <v>45544</v>
      </c>
      <c r="E120" s="1" t="s">
        <v>373</v>
      </c>
      <c r="F120" s="1" t="s">
        <v>379</v>
      </c>
      <c r="G120" s="1" t="s">
        <v>384</v>
      </c>
      <c r="H120" s="1" t="s">
        <v>387</v>
      </c>
      <c r="I120">
        <v>67728.759999999995</v>
      </c>
      <c r="J120">
        <v>472355</v>
      </c>
      <c r="K120">
        <v>6482</v>
      </c>
      <c r="L120">
        <v>1422</v>
      </c>
      <c r="M120">
        <v>24550.94</v>
      </c>
      <c r="N120" s="1" t="s">
        <v>390</v>
      </c>
      <c r="O120">
        <v>7</v>
      </c>
      <c r="P120" s="8">
        <v>1.37227297265828E-2</v>
      </c>
      <c r="Q120" s="8">
        <v>0.21937673557543999</v>
      </c>
      <c r="R120" s="1">
        <v>47.629226441631502</v>
      </c>
      <c r="S120" s="3">
        <v>0.36248914050692793</v>
      </c>
      <c r="T120" s="1">
        <v>-43177.819999999992</v>
      </c>
      <c r="U120" s="2">
        <v>45544</v>
      </c>
      <c r="V120" s="10">
        <v>29.67</v>
      </c>
      <c r="W120">
        <v>76</v>
      </c>
      <c r="X120" s="3">
        <v>3.7875563097809315</v>
      </c>
      <c r="Y120" s="7">
        <v>2.0995512098553111E-2</v>
      </c>
      <c r="Z120">
        <v>2.75870333274408</v>
      </c>
      <c r="AA120"/>
      <c r="AB120"/>
    </row>
    <row r="121" spans="1:28" x14ac:dyDescent="0.3">
      <c r="A121" s="1" t="s">
        <v>136</v>
      </c>
      <c r="B121" s="1" t="s">
        <v>370</v>
      </c>
      <c r="C121" s="2">
        <v>45390</v>
      </c>
      <c r="D121" s="2">
        <v>45327</v>
      </c>
      <c r="E121" s="1" t="s">
        <v>372</v>
      </c>
      <c r="F121" s="1" t="s">
        <v>379</v>
      </c>
      <c r="G121" s="1" t="s">
        <v>384</v>
      </c>
      <c r="H121" s="1" t="s">
        <v>386</v>
      </c>
      <c r="I121">
        <v>77615.399999999994</v>
      </c>
      <c r="J121">
        <v>921877</v>
      </c>
      <c r="K121">
        <v>28005</v>
      </c>
      <c r="L121">
        <v>1799</v>
      </c>
      <c r="M121">
        <v>175599.94</v>
      </c>
      <c r="N121" s="1" t="s">
        <v>391</v>
      </c>
      <c r="O121">
        <v>4</v>
      </c>
      <c r="P121" s="8">
        <v>3.0378239179413302E-2</v>
      </c>
      <c r="Q121" s="8">
        <v>6.4238528834136804E-2</v>
      </c>
      <c r="R121" s="1">
        <v>43.143635352973874</v>
      </c>
      <c r="S121" s="3">
        <v>2.2624368359887344</v>
      </c>
      <c r="T121" s="1">
        <v>97984.540000000008</v>
      </c>
      <c r="U121" s="2">
        <v>45420</v>
      </c>
      <c r="V121" s="10">
        <v>56.13</v>
      </c>
      <c r="W121">
        <v>30</v>
      </c>
      <c r="X121" s="3">
        <v>6.2703067309409031</v>
      </c>
      <c r="Y121" s="7">
        <v>2.3178389855621439E-2</v>
      </c>
      <c r="Z121">
        <v>0.44200128997766203</v>
      </c>
      <c r="AA121"/>
      <c r="AB121"/>
    </row>
    <row r="122" spans="1:28" x14ac:dyDescent="0.3">
      <c r="A122" s="1" t="s">
        <v>137</v>
      </c>
      <c r="B122" s="1" t="s">
        <v>370</v>
      </c>
      <c r="C122" s="2">
        <v>45327</v>
      </c>
      <c r="D122" s="2">
        <v>45541</v>
      </c>
      <c r="E122" s="1" t="s">
        <v>375</v>
      </c>
      <c r="F122" s="1" t="s">
        <v>379</v>
      </c>
      <c r="G122" s="1" t="s">
        <v>384</v>
      </c>
      <c r="H122" s="1" t="s">
        <v>387</v>
      </c>
      <c r="I122">
        <v>30179.41</v>
      </c>
      <c r="J122">
        <v>1306715</v>
      </c>
      <c r="K122">
        <v>23760</v>
      </c>
      <c r="L122">
        <v>732</v>
      </c>
      <c r="M122">
        <v>175623.17</v>
      </c>
      <c r="N122" s="1" t="s">
        <v>391</v>
      </c>
      <c r="O122">
        <v>4</v>
      </c>
      <c r="P122" s="8">
        <v>1.8183000883895899E-2</v>
      </c>
      <c r="Q122" s="8">
        <v>3.0808080808080798E-2</v>
      </c>
      <c r="R122" s="1">
        <v>41.228702185792351</v>
      </c>
      <c r="S122" s="3">
        <v>5.8193042872607519</v>
      </c>
      <c r="T122" s="1">
        <v>145443.76</v>
      </c>
      <c r="U122" s="2">
        <v>45541</v>
      </c>
      <c r="V122" s="10">
        <v>57.49</v>
      </c>
      <c r="W122">
        <v>214</v>
      </c>
      <c r="X122" s="3">
        <v>7.3915475589225599</v>
      </c>
      <c r="Y122" s="7">
        <v>2.4254947329984251E-2</v>
      </c>
      <c r="Z122">
        <v>0.17184184751932199</v>
      </c>
      <c r="AA122"/>
      <c r="AB122"/>
    </row>
    <row r="123" spans="1:28" x14ac:dyDescent="0.3">
      <c r="A123" s="1" t="s">
        <v>138</v>
      </c>
      <c r="B123" s="1" t="s">
        <v>367</v>
      </c>
      <c r="C123" s="2">
        <v>45387</v>
      </c>
      <c r="D123" s="2">
        <v>45396</v>
      </c>
      <c r="E123" s="1" t="s">
        <v>373</v>
      </c>
      <c r="F123" s="1" t="s">
        <v>378</v>
      </c>
      <c r="G123" s="1" t="s">
        <v>383</v>
      </c>
      <c r="H123" s="1" t="s">
        <v>388</v>
      </c>
      <c r="I123">
        <v>6989.77</v>
      </c>
      <c r="J123">
        <v>130257</v>
      </c>
      <c r="K123">
        <v>6463</v>
      </c>
      <c r="L123">
        <v>1908</v>
      </c>
      <c r="M123">
        <v>233345.63</v>
      </c>
      <c r="N123" s="1" t="s">
        <v>390</v>
      </c>
      <c r="O123">
        <v>8</v>
      </c>
      <c r="P123" s="8">
        <v>4.96172950398059E-2</v>
      </c>
      <c r="Q123" s="8">
        <v>0.29521893857341802</v>
      </c>
      <c r="R123" s="1">
        <v>3.6634014675052415</v>
      </c>
      <c r="S123" s="3">
        <v>33.38387815335841</v>
      </c>
      <c r="T123" s="1">
        <v>226355.86000000002</v>
      </c>
      <c r="U123" s="2">
        <v>45396</v>
      </c>
      <c r="V123" s="10">
        <v>47.2</v>
      </c>
      <c r="W123">
        <v>9</v>
      </c>
      <c r="X123" s="3">
        <v>36.104847593996595</v>
      </c>
      <c r="Y123" s="7">
        <v>0.2729703552477406</v>
      </c>
      <c r="Z123">
        <v>2.9954578536568299E-2</v>
      </c>
      <c r="AA123"/>
      <c r="AB123"/>
    </row>
    <row r="124" spans="1:28" x14ac:dyDescent="0.3">
      <c r="A124" s="1" t="s">
        <v>139</v>
      </c>
      <c r="B124" s="1" t="s">
        <v>368</v>
      </c>
      <c r="C124" s="2">
        <v>45443</v>
      </c>
      <c r="D124" s="2">
        <v>45325</v>
      </c>
      <c r="E124" s="1" t="s">
        <v>376</v>
      </c>
      <c r="F124" s="1" t="s">
        <v>380</v>
      </c>
      <c r="G124" s="1" t="s">
        <v>384</v>
      </c>
      <c r="H124" s="1" t="s">
        <v>387</v>
      </c>
      <c r="I124">
        <v>12806.31</v>
      </c>
      <c r="J124">
        <v>1576534</v>
      </c>
      <c r="K124">
        <v>47628</v>
      </c>
      <c r="L124">
        <v>1639</v>
      </c>
      <c r="M124">
        <v>129354.99</v>
      </c>
      <c r="N124" s="1" t="s">
        <v>389</v>
      </c>
      <c r="O124">
        <v>5</v>
      </c>
      <c r="P124" s="8">
        <v>3.0210575858179999E-2</v>
      </c>
      <c r="Q124" s="8">
        <v>3.4412530444276501E-2</v>
      </c>
      <c r="R124" s="1">
        <v>7.813489932885906</v>
      </c>
      <c r="S124" s="3">
        <v>10.100879175968723</v>
      </c>
      <c r="T124" s="1">
        <v>116548.68000000001</v>
      </c>
      <c r="U124" s="2">
        <v>45473</v>
      </c>
      <c r="V124" s="10">
        <v>21.4</v>
      </c>
      <c r="W124">
        <v>30</v>
      </c>
      <c r="X124" s="3">
        <v>2.7159441924918117</v>
      </c>
      <c r="Y124" s="7">
        <v>0.12798378299447694</v>
      </c>
      <c r="Z124">
        <v>9.9001283212963004E-2</v>
      </c>
      <c r="AA124"/>
      <c r="AB124"/>
    </row>
    <row r="125" spans="1:28" x14ac:dyDescent="0.3">
      <c r="A125" s="1" t="s">
        <v>140</v>
      </c>
      <c r="B125" s="1" t="s">
        <v>369</v>
      </c>
      <c r="C125" s="2">
        <v>45442</v>
      </c>
      <c r="D125" s="2">
        <v>45455</v>
      </c>
      <c r="E125" s="1" t="s">
        <v>372</v>
      </c>
      <c r="F125" s="1" t="s">
        <v>381</v>
      </c>
      <c r="G125" s="1" t="s">
        <v>384</v>
      </c>
      <c r="H125" s="1" t="s">
        <v>387</v>
      </c>
      <c r="I125">
        <v>96946.7</v>
      </c>
      <c r="J125">
        <v>874143</v>
      </c>
      <c r="K125">
        <v>5912</v>
      </c>
      <c r="L125">
        <v>955</v>
      </c>
      <c r="M125">
        <v>65260.22</v>
      </c>
      <c r="N125" s="1" t="s">
        <v>389</v>
      </c>
      <c r="O125">
        <v>5</v>
      </c>
      <c r="P125" s="8">
        <v>6.7631954954738499E-3</v>
      </c>
      <c r="Q125" s="8">
        <v>0.16153585926928299</v>
      </c>
      <c r="R125" s="1">
        <v>101.51486910994764</v>
      </c>
      <c r="S125" s="3">
        <v>0.67315566182242415</v>
      </c>
      <c r="T125" s="1">
        <v>-31686.479999999996</v>
      </c>
      <c r="U125" s="2">
        <v>45455</v>
      </c>
      <c r="V125" s="10">
        <v>64.39</v>
      </c>
      <c r="W125">
        <v>13</v>
      </c>
      <c r="X125" s="3">
        <v>11.038602841677942</v>
      </c>
      <c r="Y125" s="7">
        <v>9.8507736725437795E-3</v>
      </c>
      <c r="Z125">
        <v>1.48554050231519</v>
      </c>
      <c r="AA125"/>
      <c r="AB125"/>
    </row>
    <row r="126" spans="1:28" x14ac:dyDescent="0.3">
      <c r="A126" s="1" t="s">
        <v>141</v>
      </c>
      <c r="B126" s="1" t="s">
        <v>371</v>
      </c>
      <c r="C126" s="2">
        <v>45481</v>
      </c>
      <c r="D126" s="2">
        <v>45439</v>
      </c>
      <c r="E126" s="1" t="s">
        <v>372</v>
      </c>
      <c r="F126" s="1" t="s">
        <v>378</v>
      </c>
      <c r="G126" s="1" t="s">
        <v>384</v>
      </c>
      <c r="H126" s="1" t="s">
        <v>387</v>
      </c>
      <c r="I126">
        <v>33067.25</v>
      </c>
      <c r="J126">
        <v>1105106</v>
      </c>
      <c r="K126">
        <v>5648</v>
      </c>
      <c r="L126">
        <v>1883</v>
      </c>
      <c r="M126">
        <v>20695.32</v>
      </c>
      <c r="N126" s="1" t="s">
        <v>390</v>
      </c>
      <c r="O126">
        <v>8</v>
      </c>
      <c r="P126" s="8">
        <v>5.1108219483017902E-3</v>
      </c>
      <c r="Q126" s="8">
        <v>0.333392351274788</v>
      </c>
      <c r="R126" s="1">
        <v>17.56093998937865</v>
      </c>
      <c r="S126" s="3">
        <v>0.62585549146058406</v>
      </c>
      <c r="T126" s="1">
        <v>-12371.93</v>
      </c>
      <c r="U126" s="2">
        <v>45511</v>
      </c>
      <c r="V126" s="10">
        <v>49.6</v>
      </c>
      <c r="W126">
        <v>30</v>
      </c>
      <c r="X126" s="3">
        <v>3.6641855524079321</v>
      </c>
      <c r="Y126" s="7">
        <v>5.6944559949799273E-2</v>
      </c>
      <c r="Z126">
        <v>1.59781293548493</v>
      </c>
      <c r="AA126"/>
      <c r="AB126"/>
    </row>
    <row r="127" spans="1:28" x14ac:dyDescent="0.3">
      <c r="A127" s="1" t="s">
        <v>142</v>
      </c>
      <c r="B127" s="1" t="s">
        <v>367</v>
      </c>
      <c r="C127" s="2">
        <v>45515</v>
      </c>
      <c r="D127" s="2">
        <v>45415</v>
      </c>
      <c r="E127" s="1" t="s">
        <v>373</v>
      </c>
      <c r="F127" s="1" t="s">
        <v>378</v>
      </c>
      <c r="G127" s="1" t="s">
        <v>383</v>
      </c>
      <c r="H127" s="1" t="s">
        <v>388</v>
      </c>
      <c r="I127">
        <v>78076.2</v>
      </c>
      <c r="J127">
        <v>1371836</v>
      </c>
      <c r="K127">
        <v>34623</v>
      </c>
      <c r="L127">
        <v>369</v>
      </c>
      <c r="M127">
        <v>109754.12</v>
      </c>
      <c r="N127" s="1" t="s">
        <v>389</v>
      </c>
      <c r="O127">
        <v>8</v>
      </c>
      <c r="P127" s="8">
        <v>2.5238439580241401E-2</v>
      </c>
      <c r="Q127" s="8">
        <v>1.0657655315830499E-2</v>
      </c>
      <c r="R127" s="1">
        <v>211.58861788617887</v>
      </c>
      <c r="S127" s="3">
        <v>1.4057308116942167</v>
      </c>
      <c r="T127" s="1">
        <v>31677.919999999998</v>
      </c>
      <c r="U127" s="2">
        <v>45545</v>
      </c>
      <c r="V127" s="10">
        <v>69.37</v>
      </c>
      <c r="W127">
        <v>30</v>
      </c>
      <c r="X127" s="3">
        <v>3.1699771827975622</v>
      </c>
      <c r="Y127" s="7">
        <v>4.726152143675025E-3</v>
      </c>
      <c r="Z127">
        <v>0.71137375070748998</v>
      </c>
      <c r="AA127"/>
      <c r="AB127"/>
    </row>
    <row r="128" spans="1:28" x14ac:dyDescent="0.3">
      <c r="A128" s="1" t="s">
        <v>143</v>
      </c>
      <c r="B128" s="1" t="s">
        <v>368</v>
      </c>
      <c r="C128" s="2">
        <v>45328</v>
      </c>
      <c r="D128" s="2">
        <v>45383</v>
      </c>
      <c r="E128" s="1" t="s">
        <v>373</v>
      </c>
      <c r="F128" s="1" t="s">
        <v>378</v>
      </c>
      <c r="G128" s="1" t="s">
        <v>382</v>
      </c>
      <c r="H128" s="1" t="s">
        <v>386</v>
      </c>
      <c r="I128">
        <v>64343.040000000001</v>
      </c>
      <c r="J128">
        <v>1688658</v>
      </c>
      <c r="K128">
        <v>36634</v>
      </c>
      <c r="L128">
        <v>175</v>
      </c>
      <c r="M128">
        <v>82460.009999999995</v>
      </c>
      <c r="N128" s="1" t="s">
        <v>391</v>
      </c>
      <c r="O128">
        <v>9</v>
      </c>
      <c r="P128" s="8">
        <v>2.1694150029194802E-2</v>
      </c>
      <c r="Q128" s="8">
        <v>4.7769831304252898E-3</v>
      </c>
      <c r="R128" s="1">
        <v>367.67451428571428</v>
      </c>
      <c r="S128" s="3">
        <v>1.2815684493614228</v>
      </c>
      <c r="T128" s="1">
        <v>18116.969999999994</v>
      </c>
      <c r="U128" s="2">
        <v>45383</v>
      </c>
      <c r="V128" s="10">
        <v>71.92</v>
      </c>
      <c r="W128">
        <v>55</v>
      </c>
      <c r="X128" s="3">
        <v>2.2509147240268601</v>
      </c>
      <c r="Y128" s="7">
        <v>2.719796888676693E-3</v>
      </c>
      <c r="Z128">
        <v>0.78029386608126805</v>
      </c>
      <c r="AA128"/>
      <c r="AB128"/>
    </row>
    <row r="129" spans="1:28" x14ac:dyDescent="0.3">
      <c r="A129" s="1" t="s">
        <v>144</v>
      </c>
      <c r="B129" s="1" t="s">
        <v>367</v>
      </c>
      <c r="C129" s="2">
        <v>45559</v>
      </c>
      <c r="D129" s="2">
        <v>45515</v>
      </c>
      <c r="E129" s="1" t="s">
        <v>375</v>
      </c>
      <c r="F129" s="1" t="s">
        <v>379</v>
      </c>
      <c r="G129" s="1" t="s">
        <v>385</v>
      </c>
      <c r="H129" s="1" t="s">
        <v>388</v>
      </c>
      <c r="I129">
        <v>41284.269999999997</v>
      </c>
      <c r="J129">
        <v>967786</v>
      </c>
      <c r="K129">
        <v>45602</v>
      </c>
      <c r="L129">
        <v>326</v>
      </c>
      <c r="M129">
        <v>192661.19</v>
      </c>
      <c r="N129" s="1" t="s">
        <v>391</v>
      </c>
      <c r="O129">
        <v>7</v>
      </c>
      <c r="P129" s="8">
        <v>4.7119921139590799E-2</v>
      </c>
      <c r="Q129" s="8">
        <v>7.1488092627516302E-3</v>
      </c>
      <c r="R129" s="1">
        <v>126.63886503067484</v>
      </c>
      <c r="S129" s="3">
        <v>4.6666972675064864</v>
      </c>
      <c r="T129" s="1">
        <v>151376.92000000001</v>
      </c>
      <c r="U129" s="2">
        <v>45589</v>
      </c>
      <c r="V129" s="10">
        <v>79.97</v>
      </c>
      <c r="W129">
        <v>30</v>
      </c>
      <c r="X129" s="3">
        <v>4.224840796456296</v>
      </c>
      <c r="Y129" s="7">
        <v>7.8964700114595703E-3</v>
      </c>
      <c r="Z129">
        <v>0.214284309154324</v>
      </c>
      <c r="AA129"/>
      <c r="AB129"/>
    </row>
    <row r="130" spans="1:28" x14ac:dyDescent="0.3">
      <c r="A130" s="1" t="s">
        <v>145</v>
      </c>
      <c r="B130" s="1" t="s">
        <v>368</v>
      </c>
      <c r="C130" s="2">
        <v>45474</v>
      </c>
      <c r="D130" s="2">
        <v>45524</v>
      </c>
      <c r="E130" s="1" t="s">
        <v>374</v>
      </c>
      <c r="F130" s="1" t="s">
        <v>380</v>
      </c>
      <c r="G130" s="1" t="s">
        <v>384</v>
      </c>
      <c r="H130" s="1" t="s">
        <v>386</v>
      </c>
      <c r="I130">
        <v>24540.29</v>
      </c>
      <c r="J130">
        <v>260545</v>
      </c>
      <c r="K130">
        <v>4112</v>
      </c>
      <c r="L130">
        <v>1277</v>
      </c>
      <c r="M130">
        <v>95024.26</v>
      </c>
      <c r="N130" s="1" t="s">
        <v>390</v>
      </c>
      <c r="O130">
        <v>8</v>
      </c>
      <c r="P130" s="8">
        <v>1.5782302481337201E-2</v>
      </c>
      <c r="Q130" s="8">
        <v>0.31055447470817099</v>
      </c>
      <c r="R130" s="1">
        <v>19.217141738449492</v>
      </c>
      <c r="S130" s="3">
        <v>3.8721734747225884</v>
      </c>
      <c r="T130" s="1">
        <v>70483.97</v>
      </c>
      <c r="U130" s="2">
        <v>45524</v>
      </c>
      <c r="V130" s="10">
        <v>44.27</v>
      </c>
      <c r="W130">
        <v>50</v>
      </c>
      <c r="X130" s="3">
        <v>23.109012645914394</v>
      </c>
      <c r="Y130" s="7">
        <v>5.2036874869856871E-2</v>
      </c>
      <c r="Z130">
        <v>0.25825289247187999</v>
      </c>
      <c r="AA130"/>
      <c r="AB130"/>
    </row>
    <row r="131" spans="1:28" x14ac:dyDescent="0.3">
      <c r="A131" s="1" t="s">
        <v>146</v>
      </c>
      <c r="B131" s="1" t="s">
        <v>368</v>
      </c>
      <c r="C131" s="2">
        <v>45304</v>
      </c>
      <c r="D131" s="2">
        <v>45347</v>
      </c>
      <c r="E131" s="1" t="s">
        <v>373</v>
      </c>
      <c r="F131" s="1" t="s">
        <v>378</v>
      </c>
      <c r="G131" s="1" t="s">
        <v>382</v>
      </c>
      <c r="H131" s="1" t="s">
        <v>386</v>
      </c>
      <c r="I131">
        <v>16531.71</v>
      </c>
      <c r="J131">
        <v>1755834</v>
      </c>
      <c r="K131">
        <v>23054</v>
      </c>
      <c r="L131">
        <v>243</v>
      </c>
      <c r="M131">
        <v>237777.09</v>
      </c>
      <c r="N131" s="1" t="s">
        <v>389</v>
      </c>
      <c r="O131">
        <v>6</v>
      </c>
      <c r="P131" s="8">
        <v>1.31299428078053E-2</v>
      </c>
      <c r="Q131" s="8">
        <v>1.05404702003991E-2</v>
      </c>
      <c r="R131" s="1">
        <v>68.03172839506172</v>
      </c>
      <c r="S131" s="3">
        <v>14.383091041398622</v>
      </c>
      <c r="T131" s="1">
        <v>221245.38</v>
      </c>
      <c r="U131" s="2">
        <v>45347</v>
      </c>
      <c r="V131" s="10">
        <v>41.86</v>
      </c>
      <c r="W131">
        <v>43</v>
      </c>
      <c r="X131" s="3">
        <v>10.313919059599202</v>
      </c>
      <c r="Y131" s="7">
        <v>1.4699023875932981E-2</v>
      </c>
      <c r="Z131">
        <v>6.9526084283393297E-2</v>
      </c>
      <c r="AA131"/>
      <c r="AB131"/>
    </row>
    <row r="132" spans="1:28" x14ac:dyDescent="0.3">
      <c r="A132" s="1" t="s">
        <v>147</v>
      </c>
      <c r="B132" s="1" t="s">
        <v>369</v>
      </c>
      <c r="C132" s="2">
        <v>45570</v>
      </c>
      <c r="D132" s="2">
        <v>45494</v>
      </c>
      <c r="E132" s="1" t="s">
        <v>373</v>
      </c>
      <c r="F132" s="1" t="s">
        <v>381</v>
      </c>
      <c r="G132" s="1" t="s">
        <v>384</v>
      </c>
      <c r="H132" s="1" t="s">
        <v>387</v>
      </c>
      <c r="I132">
        <v>63426.23</v>
      </c>
      <c r="J132">
        <v>578423</v>
      </c>
      <c r="K132">
        <v>5492</v>
      </c>
      <c r="L132">
        <v>1754</v>
      </c>
      <c r="M132">
        <v>240954.45</v>
      </c>
      <c r="N132" s="1" t="s">
        <v>389</v>
      </c>
      <c r="O132">
        <v>5</v>
      </c>
      <c r="P132" s="8">
        <v>9.4947815007356204E-3</v>
      </c>
      <c r="Q132" s="8">
        <v>0.31937363437727601</v>
      </c>
      <c r="R132" s="1">
        <v>36.160906499429878</v>
      </c>
      <c r="S132" s="3">
        <v>3.7989716557329674</v>
      </c>
      <c r="T132" s="1">
        <v>177528.22</v>
      </c>
      <c r="U132" s="2">
        <v>45600</v>
      </c>
      <c r="V132" s="10">
        <v>12.1</v>
      </c>
      <c r="W132">
        <v>30</v>
      </c>
      <c r="X132" s="3">
        <v>43.873716314639481</v>
      </c>
      <c r="Y132" s="7">
        <v>2.7654173990792136E-2</v>
      </c>
      <c r="Z132">
        <v>0.263229128990977</v>
      </c>
      <c r="AA132"/>
      <c r="AB132"/>
    </row>
    <row r="133" spans="1:28" x14ac:dyDescent="0.3">
      <c r="A133" s="1" t="s">
        <v>148</v>
      </c>
      <c r="B133" s="1" t="s">
        <v>368</v>
      </c>
      <c r="C133" s="2">
        <v>45508</v>
      </c>
      <c r="D133" s="2">
        <v>45621</v>
      </c>
      <c r="E133" s="1" t="s">
        <v>377</v>
      </c>
      <c r="F133" s="1" t="s">
        <v>380</v>
      </c>
      <c r="G133" s="1" t="s">
        <v>383</v>
      </c>
      <c r="H133" s="1" t="s">
        <v>386</v>
      </c>
      <c r="I133">
        <v>78590.210000000006</v>
      </c>
      <c r="J133">
        <v>974133</v>
      </c>
      <c r="K133">
        <v>23207</v>
      </c>
      <c r="L133">
        <v>1737</v>
      </c>
      <c r="M133">
        <v>159018.06</v>
      </c>
      <c r="N133" s="1" t="s">
        <v>391</v>
      </c>
      <c r="O133">
        <v>8</v>
      </c>
      <c r="P133" s="8">
        <v>2.38232356362016E-2</v>
      </c>
      <c r="Q133" s="8">
        <v>7.4848106174860998E-2</v>
      </c>
      <c r="R133" s="1">
        <v>45.24479562464019</v>
      </c>
      <c r="S133" s="3">
        <v>2.0233825561733449</v>
      </c>
      <c r="T133" s="1">
        <v>80427.849999999991</v>
      </c>
      <c r="U133" s="2">
        <v>45621</v>
      </c>
      <c r="V133" s="10">
        <v>61.31</v>
      </c>
      <c r="W133">
        <v>113</v>
      </c>
      <c r="X133" s="3">
        <v>6.8521592622915497</v>
      </c>
      <c r="Y133" s="7">
        <v>2.2101989548062029E-2</v>
      </c>
      <c r="Z133">
        <v>0.49422191416497002</v>
      </c>
      <c r="AA133"/>
      <c r="AB133"/>
    </row>
    <row r="134" spans="1:28" x14ac:dyDescent="0.3">
      <c r="A134" s="1" t="s">
        <v>149</v>
      </c>
      <c r="B134" s="1" t="s">
        <v>367</v>
      </c>
      <c r="C134" s="2">
        <v>45577</v>
      </c>
      <c r="D134" s="2">
        <v>45454</v>
      </c>
      <c r="E134" s="1" t="s">
        <v>376</v>
      </c>
      <c r="F134" s="1" t="s">
        <v>381</v>
      </c>
      <c r="G134" s="1" t="s">
        <v>382</v>
      </c>
      <c r="H134" s="1" t="s">
        <v>388</v>
      </c>
      <c r="I134">
        <v>66170.899999999994</v>
      </c>
      <c r="J134">
        <v>421616</v>
      </c>
      <c r="K134">
        <v>16114</v>
      </c>
      <c r="L134">
        <v>1620</v>
      </c>
      <c r="M134">
        <v>232878.47</v>
      </c>
      <c r="N134" s="1" t="s">
        <v>390</v>
      </c>
      <c r="O134">
        <v>6</v>
      </c>
      <c r="P134" s="8">
        <v>3.8219612158931403E-2</v>
      </c>
      <c r="Q134" s="8">
        <v>0.100533697405982</v>
      </c>
      <c r="R134" s="1">
        <v>40.846234567901234</v>
      </c>
      <c r="S134" s="3">
        <v>3.519348686507211</v>
      </c>
      <c r="T134" s="1">
        <v>166707.57</v>
      </c>
      <c r="U134" s="2">
        <v>45607</v>
      </c>
      <c r="V134" s="10">
        <v>17.809999999999999</v>
      </c>
      <c r="W134">
        <v>30</v>
      </c>
      <c r="X134" s="3">
        <v>14.451934342807496</v>
      </c>
      <c r="Y134" s="7">
        <v>2.4482060845477396E-2</v>
      </c>
      <c r="Z134">
        <v>0.284143484797027</v>
      </c>
      <c r="AA134"/>
      <c r="AB134"/>
    </row>
    <row r="135" spans="1:28" x14ac:dyDescent="0.3">
      <c r="A135" s="1" t="s">
        <v>150</v>
      </c>
      <c r="B135" s="1" t="s">
        <v>368</v>
      </c>
      <c r="C135" s="2">
        <v>45564</v>
      </c>
      <c r="D135" s="2">
        <v>45439</v>
      </c>
      <c r="E135" s="1" t="s">
        <v>377</v>
      </c>
      <c r="F135" s="1" t="s">
        <v>380</v>
      </c>
      <c r="G135" s="1" t="s">
        <v>383</v>
      </c>
      <c r="H135" s="1" t="s">
        <v>388</v>
      </c>
      <c r="I135">
        <v>55378.7</v>
      </c>
      <c r="J135">
        <v>1576912</v>
      </c>
      <c r="K135">
        <v>35285</v>
      </c>
      <c r="L135">
        <v>745</v>
      </c>
      <c r="M135">
        <v>192605.04</v>
      </c>
      <c r="N135" s="1" t="s">
        <v>389</v>
      </c>
      <c r="O135">
        <v>6</v>
      </c>
      <c r="P135" s="8">
        <v>2.2376010836368799E-2</v>
      </c>
      <c r="Q135" s="8">
        <v>2.1113787728496501E-2</v>
      </c>
      <c r="R135" s="1">
        <v>74.333825503355698</v>
      </c>
      <c r="S135" s="3">
        <v>3.4779624657133521</v>
      </c>
      <c r="T135" s="1">
        <v>137226.34000000003</v>
      </c>
      <c r="U135" s="2">
        <v>45594</v>
      </c>
      <c r="V135" s="10">
        <v>16.559999999999999</v>
      </c>
      <c r="W135">
        <v>30</v>
      </c>
      <c r="X135" s="3">
        <v>5.4585529261725947</v>
      </c>
      <c r="Y135" s="7">
        <v>1.3452825725414284E-2</v>
      </c>
      <c r="Z135">
        <v>0.28752466705959501</v>
      </c>
      <c r="AA135"/>
      <c r="AB135"/>
    </row>
    <row r="136" spans="1:28" x14ac:dyDescent="0.3">
      <c r="A136" s="1" t="s">
        <v>151</v>
      </c>
      <c r="B136" s="1" t="s">
        <v>369</v>
      </c>
      <c r="C136" s="2">
        <v>45353</v>
      </c>
      <c r="D136" s="2">
        <v>45596</v>
      </c>
      <c r="E136" s="1" t="s">
        <v>377</v>
      </c>
      <c r="F136" s="1" t="s">
        <v>381</v>
      </c>
      <c r="G136" s="1" t="s">
        <v>384</v>
      </c>
      <c r="H136" s="1" t="s">
        <v>386</v>
      </c>
      <c r="I136">
        <v>8985.3700000000008</v>
      </c>
      <c r="J136">
        <v>825158</v>
      </c>
      <c r="K136">
        <v>17018</v>
      </c>
      <c r="L136">
        <v>1359</v>
      </c>
      <c r="M136">
        <v>141246.31</v>
      </c>
      <c r="N136" s="1" t="s">
        <v>390</v>
      </c>
      <c r="O136">
        <v>6</v>
      </c>
      <c r="P136" s="8">
        <v>2.0623928992992899E-2</v>
      </c>
      <c r="Q136" s="8">
        <v>7.9856622399812005E-2</v>
      </c>
      <c r="R136" s="1">
        <v>6.6117512877115532</v>
      </c>
      <c r="S136" s="3">
        <v>15.719587507247891</v>
      </c>
      <c r="T136" s="1">
        <v>132260.94</v>
      </c>
      <c r="U136" s="2">
        <v>45596</v>
      </c>
      <c r="V136" s="10">
        <v>64.27</v>
      </c>
      <c r="W136">
        <v>243</v>
      </c>
      <c r="X136" s="3">
        <v>8.2998184275473026</v>
      </c>
      <c r="Y136" s="7">
        <v>0.15124585854561357</v>
      </c>
      <c r="Z136">
        <v>6.3614900806966204E-2</v>
      </c>
      <c r="AA136"/>
      <c r="AB136"/>
    </row>
    <row r="137" spans="1:28" x14ac:dyDescent="0.3">
      <c r="A137" s="1" t="s">
        <v>152</v>
      </c>
      <c r="B137" s="1" t="s">
        <v>369</v>
      </c>
      <c r="C137" s="2">
        <v>45375</v>
      </c>
      <c r="D137" s="2">
        <v>45533</v>
      </c>
      <c r="E137" s="1" t="s">
        <v>372</v>
      </c>
      <c r="F137" s="1" t="s">
        <v>379</v>
      </c>
      <c r="G137" s="1" t="s">
        <v>384</v>
      </c>
      <c r="H137" s="1" t="s">
        <v>387</v>
      </c>
      <c r="I137">
        <v>97006.43</v>
      </c>
      <c r="J137">
        <v>663375</v>
      </c>
      <c r="K137">
        <v>22386</v>
      </c>
      <c r="L137">
        <v>106</v>
      </c>
      <c r="M137">
        <v>53273.9</v>
      </c>
      <c r="N137" s="1" t="s">
        <v>389</v>
      </c>
      <c r="O137">
        <v>9</v>
      </c>
      <c r="P137" s="8">
        <v>3.3745618993781798E-2</v>
      </c>
      <c r="Q137" s="8">
        <v>4.7351022960779102E-3</v>
      </c>
      <c r="R137" s="1">
        <v>915.15499999999997</v>
      </c>
      <c r="S137" s="3">
        <v>0.54917905957367985</v>
      </c>
      <c r="T137" s="1">
        <v>-43732.529999999992</v>
      </c>
      <c r="U137" s="2">
        <v>45533</v>
      </c>
      <c r="V137" s="10">
        <v>20.93</v>
      </c>
      <c r="W137">
        <v>158</v>
      </c>
      <c r="X137" s="3">
        <v>2.3797864736889127</v>
      </c>
      <c r="Y137" s="7">
        <v>1.0927110708022138E-3</v>
      </c>
      <c r="Z137">
        <v>1.82089972763398</v>
      </c>
      <c r="AA137"/>
      <c r="AB137"/>
    </row>
    <row r="138" spans="1:28" x14ac:dyDescent="0.3">
      <c r="A138" s="1" t="s">
        <v>153</v>
      </c>
      <c r="B138" s="1" t="s">
        <v>367</v>
      </c>
      <c r="C138" s="2">
        <v>45508</v>
      </c>
      <c r="D138" s="2">
        <v>45546</v>
      </c>
      <c r="E138" s="1" t="s">
        <v>374</v>
      </c>
      <c r="F138" s="1" t="s">
        <v>378</v>
      </c>
      <c r="G138" s="1" t="s">
        <v>383</v>
      </c>
      <c r="H138" s="1" t="s">
        <v>387</v>
      </c>
      <c r="I138">
        <v>80877.850000000006</v>
      </c>
      <c r="J138">
        <v>1818967</v>
      </c>
      <c r="K138">
        <v>18740</v>
      </c>
      <c r="L138">
        <v>1807</v>
      </c>
      <c r="M138">
        <v>120063.51</v>
      </c>
      <c r="N138" s="1" t="s">
        <v>391</v>
      </c>
      <c r="O138">
        <v>9</v>
      </c>
      <c r="P138" s="8">
        <v>1.0302550843418299E-2</v>
      </c>
      <c r="Q138" s="8">
        <v>9.6424759871931706E-2</v>
      </c>
      <c r="R138" s="1">
        <v>44.758079690094078</v>
      </c>
      <c r="S138" s="3">
        <v>1.4845042245806483</v>
      </c>
      <c r="T138" s="1">
        <v>39185.659999999989</v>
      </c>
      <c r="U138" s="2">
        <v>45546</v>
      </c>
      <c r="V138" s="10">
        <v>12.44</v>
      </c>
      <c r="W138">
        <v>38</v>
      </c>
      <c r="X138" s="3">
        <v>6.4068041622198502</v>
      </c>
      <c r="Y138" s="7">
        <v>2.2342334767801071E-2</v>
      </c>
      <c r="Z138">
        <v>0.67362556700199805</v>
      </c>
      <c r="AA138"/>
      <c r="AB138"/>
    </row>
    <row r="139" spans="1:28" x14ac:dyDescent="0.3">
      <c r="A139" s="1" t="s">
        <v>154</v>
      </c>
      <c r="B139" s="1" t="s">
        <v>370</v>
      </c>
      <c r="C139" s="2">
        <v>45478</v>
      </c>
      <c r="D139" s="2">
        <v>45341</v>
      </c>
      <c r="E139" s="1" t="s">
        <v>376</v>
      </c>
      <c r="F139" s="1" t="s">
        <v>381</v>
      </c>
      <c r="G139" s="1" t="s">
        <v>385</v>
      </c>
      <c r="H139" s="1" t="s">
        <v>388</v>
      </c>
      <c r="I139">
        <v>32818.089999999997</v>
      </c>
      <c r="J139">
        <v>1918388</v>
      </c>
      <c r="K139">
        <v>45199</v>
      </c>
      <c r="L139">
        <v>1376</v>
      </c>
      <c r="M139">
        <v>144609.87</v>
      </c>
      <c r="N139" s="1" t="s">
        <v>391</v>
      </c>
      <c r="O139">
        <v>6</v>
      </c>
      <c r="P139" s="8">
        <v>2.35609271951242E-2</v>
      </c>
      <c r="Q139" s="8">
        <v>3.04431513971548E-2</v>
      </c>
      <c r="R139" s="1">
        <v>23.850356104651159</v>
      </c>
      <c r="S139" s="3">
        <v>4.4064072589233563</v>
      </c>
      <c r="T139" s="1">
        <v>111791.78</v>
      </c>
      <c r="U139" s="2">
        <v>45508</v>
      </c>
      <c r="V139" s="10">
        <v>20.64</v>
      </c>
      <c r="W139">
        <v>30</v>
      </c>
      <c r="X139" s="3">
        <v>3.1994041903581936</v>
      </c>
      <c r="Y139" s="7">
        <v>4.1928095145086143E-2</v>
      </c>
      <c r="Z139">
        <v>0.22694225504801299</v>
      </c>
      <c r="AA139"/>
      <c r="AB139"/>
    </row>
    <row r="140" spans="1:28" x14ac:dyDescent="0.3">
      <c r="A140" s="1" t="s">
        <v>155</v>
      </c>
      <c r="B140" s="1" t="s">
        <v>370</v>
      </c>
      <c r="C140" s="2">
        <v>45310</v>
      </c>
      <c r="D140" s="2">
        <v>45434</v>
      </c>
      <c r="E140" s="1" t="s">
        <v>375</v>
      </c>
      <c r="F140" s="1" t="s">
        <v>380</v>
      </c>
      <c r="G140" s="1" t="s">
        <v>383</v>
      </c>
      <c r="H140" s="1" t="s">
        <v>387</v>
      </c>
      <c r="I140">
        <v>98097.18</v>
      </c>
      <c r="J140">
        <v>966383</v>
      </c>
      <c r="K140">
        <v>9210</v>
      </c>
      <c r="L140">
        <v>1236</v>
      </c>
      <c r="M140">
        <v>217350.78</v>
      </c>
      <c r="N140" s="1" t="s">
        <v>390</v>
      </c>
      <c r="O140">
        <v>9</v>
      </c>
      <c r="P140" s="8">
        <v>9.5303828813213792E-3</v>
      </c>
      <c r="Q140" s="8">
        <v>0.13420195439739399</v>
      </c>
      <c r="R140" s="1">
        <v>79.366650485436892</v>
      </c>
      <c r="S140" s="3">
        <v>2.2156679733301203</v>
      </c>
      <c r="T140" s="1">
        <v>119253.6</v>
      </c>
      <c r="U140" s="2">
        <v>45434</v>
      </c>
      <c r="V140" s="10">
        <v>59.44</v>
      </c>
      <c r="W140">
        <v>124</v>
      </c>
      <c r="X140" s="3">
        <v>23.5994332247557</v>
      </c>
      <c r="Y140" s="7">
        <v>1.2599750573869709E-2</v>
      </c>
      <c r="Z140">
        <v>0.45133116154448599</v>
      </c>
      <c r="AA140"/>
      <c r="AB140"/>
    </row>
    <row r="141" spans="1:28" x14ac:dyDescent="0.3">
      <c r="A141" s="1" t="s">
        <v>156</v>
      </c>
      <c r="B141" s="1" t="s">
        <v>368</v>
      </c>
      <c r="C141" s="2">
        <v>45468</v>
      </c>
      <c r="D141" s="2">
        <v>45461</v>
      </c>
      <c r="E141" s="1" t="s">
        <v>375</v>
      </c>
      <c r="F141" s="1" t="s">
        <v>378</v>
      </c>
      <c r="G141" s="1" t="s">
        <v>384</v>
      </c>
      <c r="H141" s="1" t="s">
        <v>386</v>
      </c>
      <c r="I141">
        <v>62178.75</v>
      </c>
      <c r="J141">
        <v>329215</v>
      </c>
      <c r="K141">
        <v>45363</v>
      </c>
      <c r="L141">
        <v>68</v>
      </c>
      <c r="M141">
        <v>125520.01</v>
      </c>
      <c r="N141" s="1" t="s">
        <v>391</v>
      </c>
      <c r="O141">
        <v>7</v>
      </c>
      <c r="P141" s="8">
        <v>0.13779141290645899</v>
      </c>
      <c r="Q141" s="8">
        <v>1.49901902431497E-3</v>
      </c>
      <c r="R141" s="1">
        <v>914.39338235294122</v>
      </c>
      <c r="S141" s="3">
        <v>2.0186962587700781</v>
      </c>
      <c r="T141" s="1">
        <v>63341.259999999995</v>
      </c>
      <c r="U141" s="2">
        <v>45498</v>
      </c>
      <c r="V141" s="10">
        <v>52.8</v>
      </c>
      <c r="W141">
        <v>30</v>
      </c>
      <c r="X141" s="3">
        <v>2.7670129841500781</v>
      </c>
      <c r="Y141" s="7">
        <v>1.0936212130349999E-3</v>
      </c>
      <c r="Z141">
        <v>0.49536922439697101</v>
      </c>
      <c r="AA141"/>
      <c r="AB141"/>
    </row>
    <row r="142" spans="1:28" x14ac:dyDescent="0.3">
      <c r="A142" s="1" t="s">
        <v>157</v>
      </c>
      <c r="B142" s="1" t="s">
        <v>371</v>
      </c>
      <c r="C142" s="2">
        <v>45391</v>
      </c>
      <c r="D142" s="2">
        <v>45368</v>
      </c>
      <c r="E142" s="1" t="s">
        <v>373</v>
      </c>
      <c r="F142" s="1" t="s">
        <v>378</v>
      </c>
      <c r="G142" s="1" t="s">
        <v>383</v>
      </c>
      <c r="H142" s="1" t="s">
        <v>386</v>
      </c>
      <c r="I142">
        <v>60330.15</v>
      </c>
      <c r="J142">
        <v>1118650</v>
      </c>
      <c r="K142">
        <v>46639</v>
      </c>
      <c r="L142">
        <v>1443</v>
      </c>
      <c r="M142">
        <v>225441.92000000001</v>
      </c>
      <c r="N142" s="1" t="s">
        <v>389</v>
      </c>
      <c r="O142">
        <v>6</v>
      </c>
      <c r="P142" s="8">
        <v>4.1692218298842398E-2</v>
      </c>
      <c r="Q142" s="8">
        <v>3.0939771435922699E-2</v>
      </c>
      <c r="R142" s="1">
        <v>41.808835758835762</v>
      </c>
      <c r="S142" s="3">
        <v>3.7368035716801633</v>
      </c>
      <c r="T142" s="1">
        <v>165111.77000000002</v>
      </c>
      <c r="U142" s="2">
        <v>45421</v>
      </c>
      <c r="V142" s="10">
        <v>18.82</v>
      </c>
      <c r="W142">
        <v>30</v>
      </c>
      <c r="X142" s="3">
        <v>4.8337640172387921</v>
      </c>
      <c r="Y142" s="7">
        <v>2.3918389064174379E-2</v>
      </c>
      <c r="Z142">
        <v>0.267608393328091</v>
      </c>
      <c r="AA142"/>
      <c r="AB142"/>
    </row>
    <row r="143" spans="1:28" x14ac:dyDescent="0.3">
      <c r="A143" s="1" t="s">
        <v>158</v>
      </c>
      <c r="B143" s="1" t="s">
        <v>368</v>
      </c>
      <c r="C143" s="2">
        <v>45524</v>
      </c>
      <c r="D143" s="2">
        <v>45322</v>
      </c>
      <c r="E143" s="1" t="s">
        <v>373</v>
      </c>
      <c r="F143" s="1" t="s">
        <v>380</v>
      </c>
      <c r="G143" s="1" t="s">
        <v>385</v>
      </c>
      <c r="H143" s="1" t="s">
        <v>388</v>
      </c>
      <c r="I143">
        <v>76066.95</v>
      </c>
      <c r="J143">
        <v>796084</v>
      </c>
      <c r="K143">
        <v>13743</v>
      </c>
      <c r="L143">
        <v>313</v>
      </c>
      <c r="M143">
        <v>171843.75</v>
      </c>
      <c r="N143" s="1" t="s">
        <v>391</v>
      </c>
      <c r="O143">
        <v>7</v>
      </c>
      <c r="P143" s="8">
        <v>1.72632536265017E-2</v>
      </c>
      <c r="Q143" s="8">
        <v>2.27752310267045E-2</v>
      </c>
      <c r="R143" s="1">
        <v>243.02539936102235</v>
      </c>
      <c r="S143" s="3">
        <v>2.2591118744737368</v>
      </c>
      <c r="T143" s="1">
        <v>95776.8</v>
      </c>
      <c r="U143" s="2">
        <v>45554</v>
      </c>
      <c r="V143" s="10">
        <v>66.180000000000007</v>
      </c>
      <c r="W143">
        <v>30</v>
      </c>
      <c r="X143" s="3">
        <v>12.504092992796332</v>
      </c>
      <c r="Y143" s="7">
        <v>4.1147962419947164E-3</v>
      </c>
      <c r="Z143">
        <v>0.44265182760501898</v>
      </c>
      <c r="AA143"/>
      <c r="AB143"/>
    </row>
    <row r="144" spans="1:28" x14ac:dyDescent="0.3">
      <c r="A144" s="1" t="s">
        <v>159</v>
      </c>
      <c r="B144" s="1" t="s">
        <v>367</v>
      </c>
      <c r="C144" s="2">
        <v>45367</v>
      </c>
      <c r="D144" s="2">
        <v>45411</v>
      </c>
      <c r="E144" s="1" t="s">
        <v>375</v>
      </c>
      <c r="F144" s="1" t="s">
        <v>381</v>
      </c>
      <c r="G144" s="1" t="s">
        <v>383</v>
      </c>
      <c r="H144" s="1" t="s">
        <v>386</v>
      </c>
      <c r="I144">
        <v>82118.13</v>
      </c>
      <c r="J144">
        <v>1690707</v>
      </c>
      <c r="K144">
        <v>43092</v>
      </c>
      <c r="L144">
        <v>843</v>
      </c>
      <c r="M144">
        <v>42879.78</v>
      </c>
      <c r="N144" s="1" t="s">
        <v>390</v>
      </c>
      <c r="O144">
        <v>7</v>
      </c>
      <c r="P144" s="8">
        <v>2.54875623038173E-2</v>
      </c>
      <c r="Q144" s="8">
        <v>1.95627958785854E-2</v>
      </c>
      <c r="R144" s="1">
        <v>97.411779359430611</v>
      </c>
      <c r="S144" s="3">
        <v>0.52217190040737649</v>
      </c>
      <c r="T144" s="1">
        <v>-39238.350000000006</v>
      </c>
      <c r="U144" s="2">
        <v>45411</v>
      </c>
      <c r="V144" s="10">
        <v>72.03</v>
      </c>
      <c r="W144">
        <v>44</v>
      </c>
      <c r="X144" s="3">
        <v>0.99507518796992478</v>
      </c>
      <c r="Y144" s="7">
        <v>1.0265698938833605E-2</v>
      </c>
      <c r="Z144">
        <v>1.91507815571815</v>
      </c>
      <c r="AA144"/>
      <c r="AB144"/>
    </row>
    <row r="145" spans="1:28" x14ac:dyDescent="0.3">
      <c r="A145" s="1" t="s">
        <v>160</v>
      </c>
      <c r="B145" s="1" t="s">
        <v>367</v>
      </c>
      <c r="C145" s="2">
        <v>45556</v>
      </c>
      <c r="D145" s="2">
        <v>45463</v>
      </c>
      <c r="E145" s="1" t="s">
        <v>373</v>
      </c>
      <c r="F145" s="1" t="s">
        <v>379</v>
      </c>
      <c r="G145" s="1" t="s">
        <v>385</v>
      </c>
      <c r="H145" s="1" t="s">
        <v>388</v>
      </c>
      <c r="I145">
        <v>67365.47</v>
      </c>
      <c r="J145">
        <v>1138477</v>
      </c>
      <c r="K145">
        <v>45299</v>
      </c>
      <c r="L145">
        <v>162</v>
      </c>
      <c r="M145">
        <v>248795.53</v>
      </c>
      <c r="N145" s="1" t="s">
        <v>390</v>
      </c>
      <c r="O145">
        <v>6</v>
      </c>
      <c r="P145" s="8">
        <v>3.9789121782873103E-2</v>
      </c>
      <c r="Q145" s="8">
        <v>3.5762378860460498E-3</v>
      </c>
      <c r="R145" s="1">
        <v>415.83623456790122</v>
      </c>
      <c r="S145" s="3">
        <v>3.6932204288042523</v>
      </c>
      <c r="T145" s="1">
        <v>181430.06</v>
      </c>
      <c r="U145" s="2">
        <v>45586</v>
      </c>
      <c r="V145" s="10">
        <v>48.69</v>
      </c>
      <c r="W145">
        <v>30</v>
      </c>
      <c r="X145" s="3">
        <v>5.4922962979315217</v>
      </c>
      <c r="Y145" s="7">
        <v>2.4047928411989111E-3</v>
      </c>
      <c r="Z145">
        <v>0.27076640002334401</v>
      </c>
      <c r="AA145"/>
      <c r="AB145"/>
    </row>
    <row r="146" spans="1:28" x14ac:dyDescent="0.3">
      <c r="A146" s="1" t="s">
        <v>161</v>
      </c>
      <c r="B146" s="1" t="s">
        <v>367</v>
      </c>
      <c r="C146" s="2">
        <v>45575</v>
      </c>
      <c r="D146" s="2">
        <v>45359</v>
      </c>
      <c r="E146" s="1" t="s">
        <v>374</v>
      </c>
      <c r="F146" s="1" t="s">
        <v>379</v>
      </c>
      <c r="G146" s="1" t="s">
        <v>385</v>
      </c>
      <c r="H146" s="1" t="s">
        <v>386</v>
      </c>
      <c r="I146">
        <v>17169.099999999999</v>
      </c>
      <c r="J146">
        <v>323349</v>
      </c>
      <c r="K146">
        <v>7588</v>
      </c>
      <c r="L146">
        <v>1561</v>
      </c>
      <c r="M146">
        <v>136535.84</v>
      </c>
      <c r="N146" s="1" t="s">
        <v>390</v>
      </c>
      <c r="O146">
        <v>5</v>
      </c>
      <c r="P146" s="8">
        <v>2.3466904180931399E-2</v>
      </c>
      <c r="Q146" s="8">
        <v>0.205719557195572</v>
      </c>
      <c r="R146" s="1">
        <v>10.998782831518257</v>
      </c>
      <c r="S146" s="3">
        <v>7.9524168418845491</v>
      </c>
      <c r="T146" s="1">
        <v>119366.73999999999</v>
      </c>
      <c r="U146" s="2">
        <v>45605</v>
      </c>
      <c r="V146" s="10">
        <v>12.13</v>
      </c>
      <c r="W146">
        <v>30</v>
      </c>
      <c r="X146" s="3">
        <v>17.993653136531364</v>
      </c>
      <c r="Y146" s="7">
        <v>9.0919151265937068E-2</v>
      </c>
      <c r="Z146">
        <v>0.12574793548712199</v>
      </c>
      <c r="AA146"/>
      <c r="AB146"/>
    </row>
    <row r="147" spans="1:28" x14ac:dyDescent="0.3">
      <c r="A147" s="1" t="s">
        <v>162</v>
      </c>
      <c r="B147" s="1" t="s">
        <v>367</v>
      </c>
      <c r="C147" s="2">
        <v>45497</v>
      </c>
      <c r="D147" s="2">
        <v>45614</v>
      </c>
      <c r="E147" s="1" t="s">
        <v>377</v>
      </c>
      <c r="F147" s="1" t="s">
        <v>381</v>
      </c>
      <c r="G147" s="1" t="s">
        <v>383</v>
      </c>
      <c r="H147" s="1" t="s">
        <v>388</v>
      </c>
      <c r="I147">
        <v>37135.410000000003</v>
      </c>
      <c r="J147">
        <v>1890914</v>
      </c>
      <c r="K147">
        <v>4311</v>
      </c>
      <c r="L147">
        <v>1400</v>
      </c>
      <c r="M147">
        <v>104045.99</v>
      </c>
      <c r="N147" s="1" t="s">
        <v>389</v>
      </c>
      <c r="O147">
        <v>6</v>
      </c>
      <c r="P147" s="8">
        <v>2.2798498503898098E-3</v>
      </c>
      <c r="Q147" s="8">
        <v>0.32475063790303899</v>
      </c>
      <c r="R147" s="1">
        <v>26.525292857142858</v>
      </c>
      <c r="S147" s="3">
        <v>2.8017999531983087</v>
      </c>
      <c r="T147" s="1">
        <v>66910.58</v>
      </c>
      <c r="U147" s="2">
        <v>45614</v>
      </c>
      <c r="V147" s="10">
        <v>27.95</v>
      </c>
      <c r="W147">
        <v>117</v>
      </c>
      <c r="X147" s="3">
        <v>24.135001159823709</v>
      </c>
      <c r="Y147" s="7">
        <v>3.7699866515544057E-2</v>
      </c>
      <c r="Z147">
        <v>0.35691341876798899</v>
      </c>
      <c r="AA147"/>
      <c r="AB147"/>
    </row>
    <row r="148" spans="1:28" x14ac:dyDescent="0.3">
      <c r="A148" s="1" t="s">
        <v>163</v>
      </c>
      <c r="B148" s="1" t="s">
        <v>367</v>
      </c>
      <c r="C148" s="2">
        <v>45514</v>
      </c>
      <c r="D148" s="2">
        <v>45460</v>
      </c>
      <c r="E148" s="1" t="s">
        <v>373</v>
      </c>
      <c r="F148" s="1" t="s">
        <v>378</v>
      </c>
      <c r="G148" s="1" t="s">
        <v>383</v>
      </c>
      <c r="H148" s="1" t="s">
        <v>387</v>
      </c>
      <c r="I148">
        <v>93167.95</v>
      </c>
      <c r="J148">
        <v>445807</v>
      </c>
      <c r="K148">
        <v>23432</v>
      </c>
      <c r="L148">
        <v>591</v>
      </c>
      <c r="M148">
        <v>168187.3</v>
      </c>
      <c r="N148" s="1" t="s">
        <v>389</v>
      </c>
      <c r="O148">
        <v>6</v>
      </c>
      <c r="P148" s="8">
        <v>5.2560861538737597E-2</v>
      </c>
      <c r="Q148" s="8">
        <v>2.5221918743598502E-2</v>
      </c>
      <c r="R148" s="1">
        <v>157.64458544839255</v>
      </c>
      <c r="S148" s="3">
        <v>1.8052055454692304</v>
      </c>
      <c r="T148" s="1">
        <v>75019.349999999991</v>
      </c>
      <c r="U148" s="2">
        <v>45544</v>
      </c>
      <c r="V148" s="10">
        <v>51.64</v>
      </c>
      <c r="W148">
        <v>30</v>
      </c>
      <c r="X148" s="3">
        <v>7.1776758279276196</v>
      </c>
      <c r="Y148" s="7">
        <v>6.3433831054563296E-3</v>
      </c>
      <c r="Z148">
        <v>0.553953538703576</v>
      </c>
      <c r="AA148"/>
      <c r="AB148"/>
    </row>
    <row r="149" spans="1:28" x14ac:dyDescent="0.3">
      <c r="A149" s="1" t="s">
        <v>164</v>
      </c>
      <c r="B149" s="1" t="s">
        <v>369</v>
      </c>
      <c r="C149" s="2">
        <v>45343</v>
      </c>
      <c r="D149" s="2">
        <v>45580</v>
      </c>
      <c r="E149" s="1" t="s">
        <v>372</v>
      </c>
      <c r="F149" s="1" t="s">
        <v>378</v>
      </c>
      <c r="G149" s="1" t="s">
        <v>382</v>
      </c>
      <c r="H149" s="1" t="s">
        <v>386</v>
      </c>
      <c r="I149">
        <v>26338.48</v>
      </c>
      <c r="J149">
        <v>1685851</v>
      </c>
      <c r="K149">
        <v>34755</v>
      </c>
      <c r="L149">
        <v>696</v>
      </c>
      <c r="M149">
        <v>36134.400000000001</v>
      </c>
      <c r="N149" s="1" t="s">
        <v>389</v>
      </c>
      <c r="O149">
        <v>9</v>
      </c>
      <c r="P149" s="8">
        <v>2.0615700913069999E-2</v>
      </c>
      <c r="Q149" s="8">
        <v>2.0025895554596499E-2</v>
      </c>
      <c r="R149" s="1">
        <v>37.842643678160918</v>
      </c>
      <c r="S149" s="3">
        <v>1.3719242720156972</v>
      </c>
      <c r="T149" s="1">
        <v>9795.9200000000019</v>
      </c>
      <c r="U149" s="2">
        <v>45580</v>
      </c>
      <c r="V149" s="10">
        <v>48.58</v>
      </c>
      <c r="W149">
        <v>237</v>
      </c>
      <c r="X149" s="3">
        <v>1.0396892533448425</v>
      </c>
      <c r="Y149" s="7">
        <v>2.6425215122512766E-2</v>
      </c>
      <c r="Z149">
        <v>0.72890320580942303</v>
      </c>
      <c r="AA149"/>
      <c r="AB149"/>
    </row>
    <row r="150" spans="1:28" x14ac:dyDescent="0.3">
      <c r="A150" s="1" t="s">
        <v>165</v>
      </c>
      <c r="B150" s="1" t="s">
        <v>370</v>
      </c>
      <c r="C150" s="2">
        <v>45435</v>
      </c>
      <c r="D150" s="2">
        <v>45482</v>
      </c>
      <c r="E150" s="1" t="s">
        <v>373</v>
      </c>
      <c r="F150" s="1" t="s">
        <v>378</v>
      </c>
      <c r="G150" s="1" t="s">
        <v>384</v>
      </c>
      <c r="H150" s="1" t="s">
        <v>386</v>
      </c>
      <c r="I150">
        <v>40355.870000000003</v>
      </c>
      <c r="J150">
        <v>1441405</v>
      </c>
      <c r="K150">
        <v>4321</v>
      </c>
      <c r="L150">
        <v>628</v>
      </c>
      <c r="M150">
        <v>162769.28</v>
      </c>
      <c r="N150" s="1" t="s">
        <v>389</v>
      </c>
      <c r="O150">
        <v>6</v>
      </c>
      <c r="P150" s="8">
        <v>2.99776953736112E-3</v>
      </c>
      <c r="Q150" s="8">
        <v>0.14533672760935001</v>
      </c>
      <c r="R150" s="1">
        <v>64.260939490445864</v>
      </c>
      <c r="S150" s="3">
        <v>4.0333483084369135</v>
      </c>
      <c r="T150" s="1">
        <v>122413.41</v>
      </c>
      <c r="U150" s="2">
        <v>45482</v>
      </c>
      <c r="V150" s="10">
        <v>66.63</v>
      </c>
      <c r="W150">
        <v>47</v>
      </c>
      <c r="X150" s="3">
        <v>37.669354316130523</v>
      </c>
      <c r="Y150" s="7">
        <v>1.5561552755522306E-2</v>
      </c>
      <c r="Z150">
        <v>0.24793296376318699</v>
      </c>
      <c r="AA150"/>
      <c r="AB150"/>
    </row>
    <row r="151" spans="1:28" x14ac:dyDescent="0.3">
      <c r="A151" s="1" t="s">
        <v>166</v>
      </c>
      <c r="B151" s="1" t="s">
        <v>367</v>
      </c>
      <c r="C151" s="2">
        <v>45360</v>
      </c>
      <c r="D151" s="2">
        <v>45499</v>
      </c>
      <c r="E151" s="1" t="s">
        <v>376</v>
      </c>
      <c r="F151" s="1" t="s">
        <v>378</v>
      </c>
      <c r="G151" s="1" t="s">
        <v>385</v>
      </c>
      <c r="H151" s="1" t="s">
        <v>388</v>
      </c>
      <c r="I151">
        <v>46047.3</v>
      </c>
      <c r="J151">
        <v>1471174</v>
      </c>
      <c r="K151">
        <v>16812</v>
      </c>
      <c r="L151">
        <v>1138</v>
      </c>
      <c r="M151">
        <v>129576.64</v>
      </c>
      <c r="N151" s="1" t="s">
        <v>389</v>
      </c>
      <c r="O151">
        <v>5</v>
      </c>
      <c r="P151" s="8">
        <v>1.1427608155119701E-2</v>
      </c>
      <c r="Q151" s="8">
        <v>6.7689745419938094E-2</v>
      </c>
      <c r="R151" s="1">
        <v>40.463356766256595</v>
      </c>
      <c r="S151" s="3">
        <v>2.8139899624950866</v>
      </c>
      <c r="T151" s="1">
        <v>83529.34</v>
      </c>
      <c r="U151" s="2">
        <v>45499</v>
      </c>
      <c r="V151" s="10">
        <v>31.97</v>
      </c>
      <c r="W151">
        <v>139</v>
      </c>
      <c r="X151" s="3">
        <v>7.7073899595527005</v>
      </c>
      <c r="Y151" s="7">
        <v>2.4713718285328347E-2</v>
      </c>
      <c r="Z151">
        <v>0.35536729459878003</v>
      </c>
      <c r="AA151"/>
      <c r="AB151"/>
    </row>
    <row r="152" spans="1:28" x14ac:dyDescent="0.3">
      <c r="A152" s="1" t="s">
        <v>167</v>
      </c>
      <c r="B152" s="1" t="s">
        <v>371</v>
      </c>
      <c r="C152" s="2">
        <v>45390</v>
      </c>
      <c r="D152" s="2">
        <v>45331</v>
      </c>
      <c r="E152" s="1" t="s">
        <v>374</v>
      </c>
      <c r="F152" s="1" t="s">
        <v>381</v>
      </c>
      <c r="G152" s="1" t="s">
        <v>382</v>
      </c>
      <c r="H152" s="1" t="s">
        <v>388</v>
      </c>
      <c r="I152">
        <v>46743.47</v>
      </c>
      <c r="J152">
        <v>1466207</v>
      </c>
      <c r="K152">
        <v>38383</v>
      </c>
      <c r="L152">
        <v>1365</v>
      </c>
      <c r="M152">
        <v>107601.78</v>
      </c>
      <c r="N152" s="1" t="s">
        <v>391</v>
      </c>
      <c r="O152">
        <v>9</v>
      </c>
      <c r="P152" s="8">
        <v>2.6178431831248902E-2</v>
      </c>
      <c r="Q152" s="8">
        <v>3.5562618867727901E-2</v>
      </c>
      <c r="R152" s="1">
        <v>34.244300366300365</v>
      </c>
      <c r="S152" s="3">
        <v>2.3019638892876375</v>
      </c>
      <c r="T152" s="1">
        <v>60858.31</v>
      </c>
      <c r="U152" s="2">
        <v>45420</v>
      </c>
      <c r="V152" s="10">
        <v>58.8</v>
      </c>
      <c r="W152">
        <v>30</v>
      </c>
      <c r="X152" s="3">
        <v>2.8033707630982465</v>
      </c>
      <c r="Y152" s="7">
        <v>2.9201939864541508E-2</v>
      </c>
      <c r="Z152">
        <v>0.43441167980678402</v>
      </c>
      <c r="AA152"/>
      <c r="AB152"/>
    </row>
    <row r="153" spans="1:28" x14ac:dyDescent="0.3">
      <c r="A153" s="1" t="s">
        <v>168</v>
      </c>
      <c r="B153" s="1" t="s">
        <v>371</v>
      </c>
      <c r="C153" s="2">
        <v>45316</v>
      </c>
      <c r="D153" s="2">
        <v>45582</v>
      </c>
      <c r="E153" s="1" t="s">
        <v>376</v>
      </c>
      <c r="F153" s="1" t="s">
        <v>378</v>
      </c>
      <c r="G153" s="1" t="s">
        <v>383</v>
      </c>
      <c r="H153" s="1" t="s">
        <v>386</v>
      </c>
      <c r="I153">
        <v>63229.26</v>
      </c>
      <c r="J153">
        <v>628688</v>
      </c>
      <c r="K153">
        <v>49280</v>
      </c>
      <c r="L153">
        <v>74</v>
      </c>
      <c r="M153">
        <v>238724.81</v>
      </c>
      <c r="N153" s="1" t="s">
        <v>389</v>
      </c>
      <c r="O153">
        <v>4</v>
      </c>
      <c r="P153" s="8">
        <v>7.8385463059577998E-2</v>
      </c>
      <c r="Q153" s="8">
        <v>1.5016233766233799E-3</v>
      </c>
      <c r="R153" s="1">
        <v>854.44945945945949</v>
      </c>
      <c r="S153" s="3">
        <v>3.7755433164961918</v>
      </c>
      <c r="T153" s="1">
        <v>175495.55</v>
      </c>
      <c r="U153" s="2">
        <v>45582</v>
      </c>
      <c r="V153" s="10">
        <v>52.68</v>
      </c>
      <c r="W153">
        <v>266</v>
      </c>
      <c r="X153" s="3">
        <v>4.8442534496753247</v>
      </c>
      <c r="Y153" s="7">
        <v>1.1703442361969759E-3</v>
      </c>
      <c r="Z153">
        <v>0.26486254193688502</v>
      </c>
      <c r="AA153"/>
      <c r="AB153"/>
    </row>
    <row r="154" spans="1:28" x14ac:dyDescent="0.3">
      <c r="A154" s="1" t="s">
        <v>169</v>
      </c>
      <c r="B154" s="1" t="s">
        <v>371</v>
      </c>
      <c r="C154" s="2">
        <v>45344</v>
      </c>
      <c r="D154" s="2">
        <v>45459</v>
      </c>
      <c r="E154" s="1" t="s">
        <v>376</v>
      </c>
      <c r="F154" s="1" t="s">
        <v>380</v>
      </c>
      <c r="G154" s="1" t="s">
        <v>384</v>
      </c>
      <c r="H154" s="1" t="s">
        <v>388</v>
      </c>
      <c r="I154">
        <v>94592.2</v>
      </c>
      <c r="J154">
        <v>1254798</v>
      </c>
      <c r="K154">
        <v>14146</v>
      </c>
      <c r="L154">
        <v>1622</v>
      </c>
      <c r="M154">
        <v>135409.53</v>
      </c>
      <c r="N154" s="1" t="s">
        <v>389</v>
      </c>
      <c r="O154">
        <v>4</v>
      </c>
      <c r="P154" s="8">
        <v>1.1273527691309701E-2</v>
      </c>
      <c r="Q154" s="8">
        <v>0.11466138837834</v>
      </c>
      <c r="R154" s="1">
        <v>58.318249075215782</v>
      </c>
      <c r="S154" s="3">
        <v>1.4315084118986556</v>
      </c>
      <c r="T154" s="1">
        <v>40817.33</v>
      </c>
      <c r="U154" s="2">
        <v>45459</v>
      </c>
      <c r="V154" s="10">
        <v>29.42</v>
      </c>
      <c r="W154">
        <v>115</v>
      </c>
      <c r="X154" s="3">
        <v>9.5722840378905705</v>
      </c>
      <c r="Y154" s="7">
        <v>1.7147291214286167E-2</v>
      </c>
      <c r="Z154">
        <v>0.69856383077321105</v>
      </c>
      <c r="AA154"/>
      <c r="AB154"/>
    </row>
    <row r="155" spans="1:28" x14ac:dyDescent="0.3">
      <c r="A155" s="1" t="s">
        <v>170</v>
      </c>
      <c r="B155" s="1" t="s">
        <v>371</v>
      </c>
      <c r="C155" s="2">
        <v>45442</v>
      </c>
      <c r="D155" s="2">
        <v>45493</v>
      </c>
      <c r="E155" s="1" t="s">
        <v>372</v>
      </c>
      <c r="F155" s="1" t="s">
        <v>378</v>
      </c>
      <c r="G155" s="1" t="s">
        <v>382</v>
      </c>
      <c r="H155" s="1" t="s">
        <v>386</v>
      </c>
      <c r="I155">
        <v>27865.81</v>
      </c>
      <c r="J155">
        <v>81852</v>
      </c>
      <c r="K155">
        <v>14654</v>
      </c>
      <c r="L155">
        <v>50</v>
      </c>
      <c r="M155">
        <v>62588.2</v>
      </c>
      <c r="N155" s="1" t="s">
        <v>391</v>
      </c>
      <c r="O155">
        <v>7</v>
      </c>
      <c r="P155" s="8">
        <v>0.17903044519376399</v>
      </c>
      <c r="Q155" s="8">
        <v>3.4120376688958599E-3</v>
      </c>
      <c r="R155" s="1">
        <v>557.31619999999998</v>
      </c>
      <c r="S155" s="3">
        <v>2.2460570857261999</v>
      </c>
      <c r="T155" s="1">
        <v>34722.39</v>
      </c>
      <c r="U155" s="2">
        <v>45493</v>
      </c>
      <c r="V155" s="10">
        <v>56.11</v>
      </c>
      <c r="W155">
        <v>51</v>
      </c>
      <c r="X155" s="3">
        <v>4.2710659205677626</v>
      </c>
      <c r="Y155" s="7">
        <v>1.7943135333227348E-3</v>
      </c>
      <c r="Z155">
        <v>0.445224658961274</v>
      </c>
      <c r="AA155"/>
      <c r="AB155"/>
    </row>
    <row r="156" spans="1:28" x14ac:dyDescent="0.3">
      <c r="A156" s="1" t="s">
        <v>171</v>
      </c>
      <c r="B156" s="1" t="s">
        <v>369</v>
      </c>
      <c r="C156" s="2">
        <v>45435</v>
      </c>
      <c r="D156" s="2">
        <v>45334</v>
      </c>
      <c r="E156" s="1" t="s">
        <v>374</v>
      </c>
      <c r="F156" s="1" t="s">
        <v>379</v>
      </c>
      <c r="G156" s="1" t="s">
        <v>385</v>
      </c>
      <c r="H156" s="1" t="s">
        <v>387</v>
      </c>
      <c r="I156">
        <v>16542.63</v>
      </c>
      <c r="J156">
        <v>1010374</v>
      </c>
      <c r="K156">
        <v>36820</v>
      </c>
      <c r="L156">
        <v>960</v>
      </c>
      <c r="M156">
        <v>120151.24</v>
      </c>
      <c r="N156" s="1" t="s">
        <v>389</v>
      </c>
      <c r="O156">
        <v>7</v>
      </c>
      <c r="P156" s="8">
        <v>3.64419511982692E-2</v>
      </c>
      <c r="Q156" s="8">
        <v>2.60727865290603E-2</v>
      </c>
      <c r="R156" s="1">
        <v>17.231906250000002</v>
      </c>
      <c r="S156" s="3">
        <v>7.2631280515855092</v>
      </c>
      <c r="T156" s="1">
        <v>103608.61</v>
      </c>
      <c r="U156" s="2">
        <v>45465</v>
      </c>
      <c r="V156" s="10">
        <v>61.91</v>
      </c>
      <c r="W156">
        <v>30</v>
      </c>
      <c r="X156" s="3">
        <v>3.263205866376969</v>
      </c>
      <c r="Y156" s="7">
        <v>5.8031884893756311E-2</v>
      </c>
      <c r="Z156">
        <v>0.13768172513242499</v>
      </c>
      <c r="AA156"/>
      <c r="AB156"/>
    </row>
    <row r="157" spans="1:28" x14ac:dyDescent="0.3">
      <c r="A157" s="1" t="s">
        <v>172</v>
      </c>
      <c r="B157" s="1" t="s">
        <v>371</v>
      </c>
      <c r="C157" s="2">
        <v>45348</v>
      </c>
      <c r="D157" s="2">
        <v>45489</v>
      </c>
      <c r="E157" s="1" t="s">
        <v>374</v>
      </c>
      <c r="F157" s="1" t="s">
        <v>378</v>
      </c>
      <c r="G157" s="1" t="s">
        <v>382</v>
      </c>
      <c r="H157" s="1" t="s">
        <v>388</v>
      </c>
      <c r="I157">
        <v>23759.7</v>
      </c>
      <c r="J157">
        <v>1611588</v>
      </c>
      <c r="K157">
        <v>1726</v>
      </c>
      <c r="L157">
        <v>1622</v>
      </c>
      <c r="M157">
        <v>230652.98</v>
      </c>
      <c r="N157" s="1" t="s">
        <v>390</v>
      </c>
      <c r="O157">
        <v>5</v>
      </c>
      <c r="P157" s="8">
        <v>1.07099333080167E-3</v>
      </c>
      <c r="Q157" s="8">
        <v>0.93974507531865603</v>
      </c>
      <c r="R157" s="1">
        <v>14.648397040690506</v>
      </c>
      <c r="S157" s="3">
        <v>9.7077395758363956</v>
      </c>
      <c r="T157" s="1">
        <v>206893.28</v>
      </c>
      <c r="U157" s="2">
        <v>45489</v>
      </c>
      <c r="V157" s="10">
        <v>42.48</v>
      </c>
      <c r="W157">
        <v>141</v>
      </c>
      <c r="X157" s="3">
        <v>133.63440324449596</v>
      </c>
      <c r="Y157" s="7">
        <v>6.8266855221235961E-2</v>
      </c>
      <c r="Z157">
        <v>0.103010591929053</v>
      </c>
      <c r="AA157"/>
      <c r="AB157"/>
    </row>
    <row r="158" spans="1:28" x14ac:dyDescent="0.3">
      <c r="A158" s="1" t="s">
        <v>173</v>
      </c>
      <c r="B158" s="1" t="s">
        <v>367</v>
      </c>
      <c r="C158" s="2">
        <v>45330</v>
      </c>
      <c r="D158" s="2">
        <v>45451</v>
      </c>
      <c r="E158" s="1" t="s">
        <v>374</v>
      </c>
      <c r="F158" s="1" t="s">
        <v>381</v>
      </c>
      <c r="G158" s="1" t="s">
        <v>385</v>
      </c>
      <c r="H158" s="1" t="s">
        <v>386</v>
      </c>
      <c r="I158">
        <v>89257.87</v>
      </c>
      <c r="J158">
        <v>1937764</v>
      </c>
      <c r="K158">
        <v>4760</v>
      </c>
      <c r="L158">
        <v>190</v>
      </c>
      <c r="M158">
        <v>52262.91</v>
      </c>
      <c r="N158" s="1" t="s">
        <v>389</v>
      </c>
      <c r="O158">
        <v>8</v>
      </c>
      <c r="P158" s="8">
        <v>2.4564394838587199E-3</v>
      </c>
      <c r="Q158" s="8">
        <v>3.9915966386554598E-2</v>
      </c>
      <c r="R158" s="1">
        <v>469.77826315789468</v>
      </c>
      <c r="S158" s="3">
        <v>0.58552719216804083</v>
      </c>
      <c r="T158" s="1">
        <v>-36994.959999999992</v>
      </c>
      <c r="U158" s="2">
        <v>45451</v>
      </c>
      <c r="V158" s="10">
        <v>40.369999999999997</v>
      </c>
      <c r="W158">
        <v>121</v>
      </c>
      <c r="X158" s="3">
        <v>10.979602941176472</v>
      </c>
      <c r="Y158" s="7">
        <v>2.1286638365894234E-3</v>
      </c>
      <c r="Z158">
        <v>1.70786261231914</v>
      </c>
      <c r="AA158"/>
      <c r="AB158"/>
    </row>
    <row r="159" spans="1:28" x14ac:dyDescent="0.3">
      <c r="A159" s="1" t="s">
        <v>174</v>
      </c>
      <c r="B159" s="1" t="s">
        <v>368</v>
      </c>
      <c r="C159" s="2">
        <v>45400</v>
      </c>
      <c r="D159" s="2">
        <v>45405</v>
      </c>
      <c r="E159" s="1" t="s">
        <v>374</v>
      </c>
      <c r="F159" s="1" t="s">
        <v>379</v>
      </c>
      <c r="G159" s="1" t="s">
        <v>383</v>
      </c>
      <c r="H159" s="1" t="s">
        <v>387</v>
      </c>
      <c r="I159">
        <v>66352.03</v>
      </c>
      <c r="J159">
        <v>427501</v>
      </c>
      <c r="K159">
        <v>23190</v>
      </c>
      <c r="L159">
        <v>1817</v>
      </c>
      <c r="M159">
        <v>61349.69</v>
      </c>
      <c r="N159" s="1" t="s">
        <v>389</v>
      </c>
      <c r="O159">
        <v>4</v>
      </c>
      <c r="P159" s="8">
        <v>5.42454871450593E-2</v>
      </c>
      <c r="Q159" s="8">
        <v>7.8352738249245393E-2</v>
      </c>
      <c r="R159" s="1">
        <v>36.517352779306549</v>
      </c>
      <c r="S159" s="3">
        <v>0.9246090888251649</v>
      </c>
      <c r="T159" s="1">
        <v>-5002.3399999999965</v>
      </c>
      <c r="U159" s="2">
        <v>45405</v>
      </c>
      <c r="V159" s="10">
        <v>20.84</v>
      </c>
      <c r="W159">
        <v>5</v>
      </c>
      <c r="X159" s="3">
        <v>2.6455235015092713</v>
      </c>
      <c r="Y159" s="7">
        <v>2.7384241296008579E-2</v>
      </c>
      <c r="Z159">
        <v>1.0815381463215199</v>
      </c>
      <c r="AA159"/>
      <c r="AB159"/>
    </row>
    <row r="160" spans="1:28" x14ac:dyDescent="0.3">
      <c r="A160" s="1" t="s">
        <v>175</v>
      </c>
      <c r="B160" s="1" t="s">
        <v>371</v>
      </c>
      <c r="C160" s="2">
        <v>45472</v>
      </c>
      <c r="D160" s="2">
        <v>45422</v>
      </c>
      <c r="E160" s="1" t="s">
        <v>374</v>
      </c>
      <c r="F160" s="1" t="s">
        <v>381</v>
      </c>
      <c r="G160" s="1" t="s">
        <v>384</v>
      </c>
      <c r="H160" s="1" t="s">
        <v>387</v>
      </c>
      <c r="I160">
        <v>32161.14</v>
      </c>
      <c r="J160">
        <v>1741916</v>
      </c>
      <c r="K160">
        <v>2875</v>
      </c>
      <c r="L160">
        <v>697</v>
      </c>
      <c r="M160">
        <v>13127.1</v>
      </c>
      <c r="N160" s="1" t="s">
        <v>390</v>
      </c>
      <c r="O160">
        <v>7</v>
      </c>
      <c r="P160" s="8">
        <v>1.6504814239033301E-3</v>
      </c>
      <c r="Q160" s="8">
        <v>0.242434782608696</v>
      </c>
      <c r="R160" s="1">
        <v>46.142238163558105</v>
      </c>
      <c r="S160" s="3">
        <v>0.40816650156057904</v>
      </c>
      <c r="T160" s="1">
        <v>-19034.04</v>
      </c>
      <c r="U160" s="2">
        <v>45502</v>
      </c>
      <c r="V160" s="10">
        <v>25.27</v>
      </c>
      <c r="W160">
        <v>30</v>
      </c>
      <c r="X160" s="3">
        <v>4.5659478260869566</v>
      </c>
      <c r="Y160" s="7">
        <v>2.1672117344099122E-2</v>
      </c>
      <c r="Z160">
        <v>2.4499805745366499</v>
      </c>
      <c r="AA160"/>
      <c r="AB160"/>
    </row>
    <row r="161" spans="1:28" x14ac:dyDescent="0.3">
      <c r="A161" s="1" t="s">
        <v>176</v>
      </c>
      <c r="B161" s="1" t="s">
        <v>369</v>
      </c>
      <c r="C161" s="2">
        <v>45333</v>
      </c>
      <c r="D161" s="2">
        <v>45594</v>
      </c>
      <c r="E161" s="1" t="s">
        <v>372</v>
      </c>
      <c r="F161" s="1" t="s">
        <v>381</v>
      </c>
      <c r="G161" s="1" t="s">
        <v>384</v>
      </c>
      <c r="H161" s="1" t="s">
        <v>386</v>
      </c>
      <c r="I161">
        <v>82514.960000000006</v>
      </c>
      <c r="J161">
        <v>1155057</v>
      </c>
      <c r="K161">
        <v>24377</v>
      </c>
      <c r="L161">
        <v>1974</v>
      </c>
      <c r="M161">
        <v>13405.61</v>
      </c>
      <c r="N161" s="1" t="s">
        <v>390</v>
      </c>
      <c r="O161">
        <v>4</v>
      </c>
      <c r="P161" s="8">
        <v>2.1104586180595401E-2</v>
      </c>
      <c r="Q161" s="8">
        <v>8.0977971038273797E-2</v>
      </c>
      <c r="R161" s="1">
        <v>41.80089159067883</v>
      </c>
      <c r="S161" s="3">
        <v>0.16246278250634794</v>
      </c>
      <c r="T161" s="1">
        <v>-69109.350000000006</v>
      </c>
      <c r="U161" s="2">
        <v>45594</v>
      </c>
      <c r="V161" s="10">
        <v>19.079999999999998</v>
      </c>
      <c r="W161">
        <v>261</v>
      </c>
      <c r="X161" s="3">
        <v>0.54992862124133401</v>
      </c>
      <c r="Y161" s="7">
        <v>2.3922934701780137E-2</v>
      </c>
      <c r="Z161">
        <v>6.1552558965985096</v>
      </c>
      <c r="AA161"/>
      <c r="AB161"/>
    </row>
    <row r="162" spans="1:28" x14ac:dyDescent="0.3">
      <c r="A162" s="1" t="s">
        <v>177</v>
      </c>
      <c r="B162" s="1" t="s">
        <v>369</v>
      </c>
      <c r="C162" s="2">
        <v>45477</v>
      </c>
      <c r="D162" s="2">
        <v>45586</v>
      </c>
      <c r="E162" s="1" t="s">
        <v>373</v>
      </c>
      <c r="F162" s="1" t="s">
        <v>379</v>
      </c>
      <c r="G162" s="1" t="s">
        <v>384</v>
      </c>
      <c r="H162" s="1" t="s">
        <v>388</v>
      </c>
      <c r="I162">
        <v>86830.15</v>
      </c>
      <c r="J162">
        <v>1886291</v>
      </c>
      <c r="K162">
        <v>47737</v>
      </c>
      <c r="L162">
        <v>237</v>
      </c>
      <c r="M162">
        <v>209053.99</v>
      </c>
      <c r="N162" s="1" t="s">
        <v>390</v>
      </c>
      <c r="O162">
        <v>5</v>
      </c>
      <c r="P162" s="8">
        <v>2.5307335930670301E-2</v>
      </c>
      <c r="Q162" s="8">
        <v>4.9647024320757498E-3</v>
      </c>
      <c r="R162" s="1">
        <v>366.37194092827002</v>
      </c>
      <c r="S162" s="3">
        <v>2.4076198186920097</v>
      </c>
      <c r="T162" s="1">
        <v>122223.84</v>
      </c>
      <c r="U162" s="2">
        <v>45586</v>
      </c>
      <c r="V162" s="10">
        <v>36.58</v>
      </c>
      <c r="W162">
        <v>109</v>
      </c>
      <c r="X162" s="3">
        <v>4.3792862978402498</v>
      </c>
      <c r="Y162" s="7">
        <v>2.7294666656685496E-3</v>
      </c>
      <c r="Z162">
        <v>0.41534796824495002</v>
      </c>
      <c r="AA162"/>
      <c r="AB162"/>
    </row>
    <row r="163" spans="1:28" x14ac:dyDescent="0.3">
      <c r="A163" s="1" t="s">
        <v>178</v>
      </c>
      <c r="B163" s="1" t="s">
        <v>371</v>
      </c>
      <c r="C163" s="2">
        <v>45514</v>
      </c>
      <c r="D163" s="2">
        <v>45359</v>
      </c>
      <c r="E163" s="1" t="s">
        <v>376</v>
      </c>
      <c r="F163" s="1" t="s">
        <v>381</v>
      </c>
      <c r="G163" s="1" t="s">
        <v>383</v>
      </c>
      <c r="H163" s="1" t="s">
        <v>386</v>
      </c>
      <c r="I163">
        <v>85418.86</v>
      </c>
      <c r="J163">
        <v>83691</v>
      </c>
      <c r="K163">
        <v>5033</v>
      </c>
      <c r="L163">
        <v>1201</v>
      </c>
      <c r="M163">
        <v>185709.43</v>
      </c>
      <c r="N163" s="1" t="s">
        <v>390</v>
      </c>
      <c r="O163">
        <v>5</v>
      </c>
      <c r="P163" s="8">
        <v>6.0137888183914599E-2</v>
      </c>
      <c r="Q163" s="8">
        <v>0.23862507450824599</v>
      </c>
      <c r="R163" s="1">
        <v>71.123114071606992</v>
      </c>
      <c r="S163" s="3">
        <v>2.1741033537558332</v>
      </c>
      <c r="T163" s="1">
        <v>100290.56999999999</v>
      </c>
      <c r="U163" s="2">
        <v>45544</v>
      </c>
      <c r="V163" s="10">
        <v>48.27</v>
      </c>
      <c r="W163">
        <v>30</v>
      </c>
      <c r="X163" s="3">
        <v>36.898356844824157</v>
      </c>
      <c r="Y163" s="7">
        <v>1.4060126768257034E-2</v>
      </c>
      <c r="Z163">
        <v>0.459959733870272</v>
      </c>
      <c r="AA163"/>
      <c r="AB163"/>
    </row>
    <row r="164" spans="1:28" x14ac:dyDescent="0.3">
      <c r="A164" s="1" t="s">
        <v>179</v>
      </c>
      <c r="B164" s="1" t="s">
        <v>368</v>
      </c>
      <c r="C164" s="2">
        <v>45413</v>
      </c>
      <c r="D164" s="2">
        <v>45415</v>
      </c>
      <c r="E164" s="1" t="s">
        <v>374</v>
      </c>
      <c r="F164" s="1" t="s">
        <v>381</v>
      </c>
      <c r="G164" s="1" t="s">
        <v>385</v>
      </c>
      <c r="H164" s="1" t="s">
        <v>387</v>
      </c>
      <c r="I164">
        <v>92298.02</v>
      </c>
      <c r="J164">
        <v>444341</v>
      </c>
      <c r="K164">
        <v>39211</v>
      </c>
      <c r="L164">
        <v>250</v>
      </c>
      <c r="M164">
        <v>95209.85</v>
      </c>
      <c r="N164" s="1" t="s">
        <v>389</v>
      </c>
      <c r="O164">
        <v>8</v>
      </c>
      <c r="P164" s="8">
        <v>8.8245289091035906E-2</v>
      </c>
      <c r="Q164" s="8">
        <v>6.3757619035474701E-3</v>
      </c>
      <c r="R164" s="1">
        <v>369.19208000000003</v>
      </c>
      <c r="S164" s="3">
        <v>1.0315481307182972</v>
      </c>
      <c r="T164" s="1">
        <v>2911.8300000000017</v>
      </c>
      <c r="U164" s="2">
        <v>45415</v>
      </c>
      <c r="V164" s="10">
        <v>74.45</v>
      </c>
      <c r="W164">
        <v>2</v>
      </c>
      <c r="X164" s="3">
        <v>2.428141337889878</v>
      </c>
      <c r="Y164" s="7">
        <v>2.7086171512671667E-3</v>
      </c>
      <c r="Z164">
        <v>0.96941671476218105</v>
      </c>
      <c r="AA164"/>
      <c r="AB164"/>
    </row>
    <row r="165" spans="1:28" x14ac:dyDescent="0.3">
      <c r="A165" s="1" t="s">
        <v>180</v>
      </c>
      <c r="B165" s="1" t="s">
        <v>371</v>
      </c>
      <c r="C165" s="2">
        <v>45424</v>
      </c>
      <c r="D165" s="2">
        <v>45416</v>
      </c>
      <c r="E165" s="1" t="s">
        <v>373</v>
      </c>
      <c r="F165" s="1" t="s">
        <v>378</v>
      </c>
      <c r="G165" s="1" t="s">
        <v>383</v>
      </c>
      <c r="H165" s="1" t="s">
        <v>386</v>
      </c>
      <c r="I165">
        <v>28962.9</v>
      </c>
      <c r="J165">
        <v>1296713</v>
      </c>
      <c r="K165">
        <v>18373</v>
      </c>
      <c r="L165">
        <v>1200</v>
      </c>
      <c r="M165">
        <v>177594.68</v>
      </c>
      <c r="N165" s="1" t="s">
        <v>390</v>
      </c>
      <c r="O165">
        <v>8</v>
      </c>
      <c r="P165" s="8">
        <v>1.4168902447958801E-2</v>
      </c>
      <c r="Q165" s="8">
        <v>6.5313231372122096E-2</v>
      </c>
      <c r="R165" s="1">
        <v>24.135750000000002</v>
      </c>
      <c r="S165" s="3">
        <v>6.1317989565961968</v>
      </c>
      <c r="T165" s="1">
        <v>148631.78</v>
      </c>
      <c r="U165" s="2">
        <v>45454</v>
      </c>
      <c r="V165" s="10">
        <v>29.15</v>
      </c>
      <c r="W165">
        <v>30</v>
      </c>
      <c r="X165" s="3">
        <v>9.6660686877483268</v>
      </c>
      <c r="Y165" s="7">
        <v>4.1432315134188907E-2</v>
      </c>
      <c r="Z165">
        <v>0.163084277074066</v>
      </c>
      <c r="AA165"/>
      <c r="AB165"/>
    </row>
    <row r="166" spans="1:28" x14ac:dyDescent="0.3">
      <c r="A166" s="1" t="s">
        <v>181</v>
      </c>
      <c r="B166" s="1" t="s">
        <v>369</v>
      </c>
      <c r="C166" s="2">
        <v>45454</v>
      </c>
      <c r="D166" s="2">
        <v>45390</v>
      </c>
      <c r="E166" s="1" t="s">
        <v>373</v>
      </c>
      <c r="F166" s="1" t="s">
        <v>380</v>
      </c>
      <c r="G166" s="1" t="s">
        <v>384</v>
      </c>
      <c r="H166" s="1" t="s">
        <v>388</v>
      </c>
      <c r="I166">
        <v>76728.98</v>
      </c>
      <c r="J166">
        <v>1096238</v>
      </c>
      <c r="K166">
        <v>4744</v>
      </c>
      <c r="L166">
        <v>306</v>
      </c>
      <c r="M166">
        <v>104849.42</v>
      </c>
      <c r="N166" s="1" t="s">
        <v>390</v>
      </c>
      <c r="O166">
        <v>9</v>
      </c>
      <c r="P166" s="8">
        <v>4.3275274164916704E-3</v>
      </c>
      <c r="Q166" s="8">
        <v>6.4502529510961207E-2</v>
      </c>
      <c r="R166" s="1">
        <v>250.74830065359475</v>
      </c>
      <c r="S166" s="3">
        <v>1.3664904707452126</v>
      </c>
      <c r="T166" s="1">
        <v>28120.440000000002</v>
      </c>
      <c r="U166" s="2">
        <v>45484</v>
      </c>
      <c r="V166" s="10">
        <v>54.52</v>
      </c>
      <c r="W166">
        <v>30</v>
      </c>
      <c r="X166" s="3">
        <v>22.101479763912309</v>
      </c>
      <c r="Y166" s="7">
        <v>3.9880629196426178E-3</v>
      </c>
      <c r="Z166">
        <v>0.73180166375741496</v>
      </c>
      <c r="AA166"/>
      <c r="AB166"/>
    </row>
    <row r="167" spans="1:28" x14ac:dyDescent="0.3">
      <c r="A167" s="1" t="s">
        <v>182</v>
      </c>
      <c r="B167" s="1" t="s">
        <v>370</v>
      </c>
      <c r="C167" s="2">
        <v>45506</v>
      </c>
      <c r="D167" s="2">
        <v>45557</v>
      </c>
      <c r="E167" s="1" t="s">
        <v>376</v>
      </c>
      <c r="F167" s="1" t="s">
        <v>381</v>
      </c>
      <c r="G167" s="1" t="s">
        <v>383</v>
      </c>
      <c r="H167" s="1" t="s">
        <v>387</v>
      </c>
      <c r="I167">
        <v>48751.25</v>
      </c>
      <c r="J167">
        <v>1649034</v>
      </c>
      <c r="K167">
        <v>25995</v>
      </c>
      <c r="L167">
        <v>1749</v>
      </c>
      <c r="M167">
        <v>238695.23</v>
      </c>
      <c r="N167" s="1" t="s">
        <v>391</v>
      </c>
      <c r="O167">
        <v>5</v>
      </c>
      <c r="P167" s="8">
        <v>1.5763774427937801E-2</v>
      </c>
      <c r="Q167" s="8">
        <v>6.7282169648009205E-2</v>
      </c>
      <c r="R167" s="1">
        <v>27.873785020011436</v>
      </c>
      <c r="S167" s="3">
        <v>4.8961868670034105</v>
      </c>
      <c r="T167" s="1">
        <v>189943.98</v>
      </c>
      <c r="U167" s="2">
        <v>45557</v>
      </c>
      <c r="V167" s="10">
        <v>34.04</v>
      </c>
      <c r="W167">
        <v>51</v>
      </c>
      <c r="X167" s="3">
        <v>9.1823516060780932</v>
      </c>
      <c r="Y167" s="7">
        <v>3.5876003179405654E-2</v>
      </c>
      <c r="Z167">
        <v>0.20424057070599999</v>
      </c>
      <c r="AA167"/>
      <c r="AB167"/>
    </row>
    <row r="168" spans="1:28" x14ac:dyDescent="0.3">
      <c r="A168" s="1" t="s">
        <v>183</v>
      </c>
      <c r="B168" s="1" t="s">
        <v>367</v>
      </c>
      <c r="C168" s="2">
        <v>45512</v>
      </c>
      <c r="D168" s="2">
        <v>45458</v>
      </c>
      <c r="E168" s="1" t="s">
        <v>372</v>
      </c>
      <c r="F168" s="1" t="s">
        <v>381</v>
      </c>
      <c r="G168" s="1" t="s">
        <v>383</v>
      </c>
      <c r="H168" s="1" t="s">
        <v>386</v>
      </c>
      <c r="I168">
        <v>84989.86</v>
      </c>
      <c r="J168">
        <v>582726</v>
      </c>
      <c r="K168">
        <v>17977</v>
      </c>
      <c r="L168">
        <v>596</v>
      </c>
      <c r="M168">
        <v>242092.64</v>
      </c>
      <c r="N168" s="1" t="s">
        <v>390</v>
      </c>
      <c r="O168">
        <v>7</v>
      </c>
      <c r="P168" s="8">
        <v>3.0849833369370899E-2</v>
      </c>
      <c r="Q168" s="8">
        <v>3.3153473883295301E-2</v>
      </c>
      <c r="R168" s="1">
        <v>142.60043624161074</v>
      </c>
      <c r="S168" s="3">
        <v>2.8484885138062355</v>
      </c>
      <c r="T168" s="1">
        <v>157102.78000000003</v>
      </c>
      <c r="U168" s="2">
        <v>45542</v>
      </c>
      <c r="V168" s="10">
        <v>56.11</v>
      </c>
      <c r="W168">
        <v>30</v>
      </c>
      <c r="X168" s="3">
        <v>13.466798687211437</v>
      </c>
      <c r="Y168" s="7">
        <v>7.0126012679630253E-3</v>
      </c>
      <c r="Z168">
        <v>0.35106337805230298</v>
      </c>
      <c r="AA168"/>
      <c r="AB168"/>
    </row>
    <row r="169" spans="1:28" x14ac:dyDescent="0.3">
      <c r="A169" s="1" t="s">
        <v>184</v>
      </c>
      <c r="B169" s="1" t="s">
        <v>369</v>
      </c>
      <c r="C169" s="2">
        <v>45526</v>
      </c>
      <c r="D169" s="2">
        <v>45397</v>
      </c>
      <c r="E169" s="1" t="s">
        <v>375</v>
      </c>
      <c r="F169" s="1" t="s">
        <v>381</v>
      </c>
      <c r="G169" s="1" t="s">
        <v>383</v>
      </c>
      <c r="H169" s="1" t="s">
        <v>388</v>
      </c>
      <c r="I169">
        <v>74206.61</v>
      </c>
      <c r="J169">
        <v>1905103</v>
      </c>
      <c r="K169">
        <v>33402</v>
      </c>
      <c r="L169">
        <v>243</v>
      </c>
      <c r="M169">
        <v>104270.51</v>
      </c>
      <c r="N169" s="1" t="s">
        <v>390</v>
      </c>
      <c r="O169">
        <v>4</v>
      </c>
      <c r="P169" s="8">
        <v>1.7532910294089099E-2</v>
      </c>
      <c r="Q169" s="8">
        <v>7.2750134722471696E-3</v>
      </c>
      <c r="R169" s="1">
        <v>305.37699588477369</v>
      </c>
      <c r="S169" s="3">
        <v>1.405137763334021</v>
      </c>
      <c r="T169" s="1">
        <v>30063.899999999994</v>
      </c>
      <c r="U169" s="2">
        <v>45556</v>
      </c>
      <c r="V169" s="10">
        <v>36.08</v>
      </c>
      <c r="W169">
        <v>30</v>
      </c>
      <c r="X169" s="3">
        <v>3.1216846296628944</v>
      </c>
      <c r="Y169" s="7">
        <v>3.2746408978930582E-3</v>
      </c>
      <c r="Z169">
        <v>0.71167399104502305</v>
      </c>
      <c r="AA169"/>
      <c r="AB169"/>
    </row>
    <row r="170" spans="1:28" x14ac:dyDescent="0.3">
      <c r="A170" s="1" t="s">
        <v>185</v>
      </c>
      <c r="B170" s="1" t="s">
        <v>371</v>
      </c>
      <c r="C170" s="2">
        <v>45437</v>
      </c>
      <c r="D170" s="2">
        <v>45356</v>
      </c>
      <c r="E170" s="1" t="s">
        <v>375</v>
      </c>
      <c r="F170" s="1" t="s">
        <v>378</v>
      </c>
      <c r="G170" s="1" t="s">
        <v>385</v>
      </c>
      <c r="H170" s="1" t="s">
        <v>387</v>
      </c>
      <c r="I170">
        <v>78762.509999999995</v>
      </c>
      <c r="J170">
        <v>1770090</v>
      </c>
      <c r="K170">
        <v>35542</v>
      </c>
      <c r="L170">
        <v>752</v>
      </c>
      <c r="M170">
        <v>215013.26</v>
      </c>
      <c r="N170" s="1" t="s">
        <v>391</v>
      </c>
      <c r="O170">
        <v>6</v>
      </c>
      <c r="P170" s="8">
        <v>2.00792050121745E-2</v>
      </c>
      <c r="Q170" s="8">
        <v>2.1158066512857999E-2</v>
      </c>
      <c r="R170" s="1">
        <v>104.73738031914893</v>
      </c>
      <c r="S170" s="3">
        <v>2.7298934480376515</v>
      </c>
      <c r="T170" s="1">
        <v>136250.75</v>
      </c>
      <c r="U170" s="2">
        <v>45467</v>
      </c>
      <c r="V170" s="10">
        <v>31.97</v>
      </c>
      <c r="W170">
        <v>30</v>
      </c>
      <c r="X170" s="3">
        <v>6.0495543300883465</v>
      </c>
      <c r="Y170" s="7">
        <v>9.5476896305107598E-3</v>
      </c>
      <c r="Z170">
        <v>0.36631466357005099</v>
      </c>
      <c r="AA170"/>
      <c r="AB170"/>
    </row>
    <row r="171" spans="1:28" x14ac:dyDescent="0.3">
      <c r="A171" s="1" t="s">
        <v>186</v>
      </c>
      <c r="B171" s="1" t="s">
        <v>367</v>
      </c>
      <c r="C171" s="2">
        <v>45530</v>
      </c>
      <c r="D171" s="2">
        <v>45322</v>
      </c>
      <c r="E171" s="1" t="s">
        <v>373</v>
      </c>
      <c r="F171" s="1" t="s">
        <v>380</v>
      </c>
      <c r="G171" s="1" t="s">
        <v>382</v>
      </c>
      <c r="H171" s="1" t="s">
        <v>388</v>
      </c>
      <c r="I171">
        <v>67335.37</v>
      </c>
      <c r="J171">
        <v>1499796</v>
      </c>
      <c r="K171">
        <v>11651</v>
      </c>
      <c r="L171">
        <v>1177</v>
      </c>
      <c r="M171">
        <v>195541.37</v>
      </c>
      <c r="N171" s="1" t="s">
        <v>391</v>
      </c>
      <c r="O171">
        <v>8</v>
      </c>
      <c r="P171" s="8">
        <v>7.7683898343507999E-3</v>
      </c>
      <c r="Q171" s="8">
        <v>0.10102137155609001</v>
      </c>
      <c r="R171" s="1">
        <v>57.209320305862356</v>
      </c>
      <c r="S171" s="3">
        <v>2.9039919139079506</v>
      </c>
      <c r="T171" s="1">
        <v>128206</v>
      </c>
      <c r="U171" s="2">
        <v>45560</v>
      </c>
      <c r="V171" s="10">
        <v>33.799999999999997</v>
      </c>
      <c r="W171">
        <v>30</v>
      </c>
      <c r="X171" s="3">
        <v>16.783226332503649</v>
      </c>
      <c r="Y171" s="7">
        <v>1.7479669303072071E-2</v>
      </c>
      <c r="Z171">
        <v>0.34435357592104399</v>
      </c>
      <c r="AA171"/>
      <c r="AB171"/>
    </row>
    <row r="172" spans="1:28" x14ac:dyDescent="0.3">
      <c r="A172" s="1" t="s">
        <v>187</v>
      </c>
      <c r="B172" s="1" t="s">
        <v>371</v>
      </c>
      <c r="C172" s="2">
        <v>45367</v>
      </c>
      <c r="D172" s="2">
        <v>45617</v>
      </c>
      <c r="E172" s="1" t="s">
        <v>377</v>
      </c>
      <c r="F172" s="1" t="s">
        <v>379</v>
      </c>
      <c r="G172" s="1" t="s">
        <v>382</v>
      </c>
      <c r="H172" s="1" t="s">
        <v>387</v>
      </c>
      <c r="I172">
        <v>21855.73</v>
      </c>
      <c r="J172">
        <v>846184</v>
      </c>
      <c r="K172">
        <v>34703</v>
      </c>
      <c r="L172">
        <v>1608</v>
      </c>
      <c r="M172">
        <v>84399.98</v>
      </c>
      <c r="N172" s="1" t="s">
        <v>389</v>
      </c>
      <c r="O172">
        <v>6</v>
      </c>
      <c r="P172" s="8">
        <v>4.1011174874495397E-2</v>
      </c>
      <c r="Q172" s="8">
        <v>4.6336051638186902E-2</v>
      </c>
      <c r="R172" s="1">
        <v>13.591871890547264</v>
      </c>
      <c r="S172" s="3">
        <v>3.8616866149060223</v>
      </c>
      <c r="T172" s="1">
        <v>62544.25</v>
      </c>
      <c r="U172" s="2">
        <v>45617</v>
      </c>
      <c r="V172" s="10">
        <v>45.11</v>
      </c>
      <c r="W172">
        <v>250</v>
      </c>
      <c r="X172" s="3">
        <v>2.4320658156355357</v>
      </c>
      <c r="Y172" s="7">
        <v>7.3573383272944895E-2</v>
      </c>
      <c r="Z172">
        <v>0.25895420828298799</v>
      </c>
      <c r="AA172"/>
      <c r="AB172"/>
    </row>
    <row r="173" spans="1:28" x14ac:dyDescent="0.3">
      <c r="A173" s="1" t="s">
        <v>188</v>
      </c>
      <c r="B173" s="1" t="s">
        <v>371</v>
      </c>
      <c r="C173" s="2">
        <v>45300</v>
      </c>
      <c r="D173" s="2">
        <v>45381</v>
      </c>
      <c r="E173" s="1" t="s">
        <v>377</v>
      </c>
      <c r="F173" s="1" t="s">
        <v>378</v>
      </c>
      <c r="G173" s="1" t="s">
        <v>383</v>
      </c>
      <c r="H173" s="1" t="s">
        <v>386</v>
      </c>
      <c r="I173">
        <v>56777.56</v>
      </c>
      <c r="J173">
        <v>1154002</v>
      </c>
      <c r="K173">
        <v>14395</v>
      </c>
      <c r="L173">
        <v>1338</v>
      </c>
      <c r="M173">
        <v>65689.56</v>
      </c>
      <c r="N173" s="1" t="s">
        <v>391</v>
      </c>
      <c r="O173">
        <v>7</v>
      </c>
      <c r="P173" s="8">
        <v>1.24739818475185E-2</v>
      </c>
      <c r="Q173" s="8">
        <v>9.2948940604376501E-2</v>
      </c>
      <c r="R173" s="1">
        <v>42.434648729446934</v>
      </c>
      <c r="S173" s="3">
        <v>1.156963420055388</v>
      </c>
      <c r="T173" s="1">
        <v>8912</v>
      </c>
      <c r="U173" s="2">
        <v>45381</v>
      </c>
      <c r="V173" s="10">
        <v>23.66</v>
      </c>
      <c r="W173">
        <v>81</v>
      </c>
      <c r="X173" s="3">
        <v>4.563359499826328</v>
      </c>
      <c r="Y173" s="7">
        <v>2.3565648118728598E-2</v>
      </c>
      <c r="Z173">
        <v>0.86433156197118699</v>
      </c>
      <c r="AA173"/>
      <c r="AB173"/>
    </row>
    <row r="174" spans="1:28" x14ac:dyDescent="0.3">
      <c r="A174" s="1" t="s">
        <v>189</v>
      </c>
      <c r="B174" s="1" t="s">
        <v>370</v>
      </c>
      <c r="C174" s="2">
        <v>45365</v>
      </c>
      <c r="D174" s="2">
        <v>45588</v>
      </c>
      <c r="E174" s="1" t="s">
        <v>376</v>
      </c>
      <c r="F174" s="1" t="s">
        <v>378</v>
      </c>
      <c r="G174" s="1" t="s">
        <v>382</v>
      </c>
      <c r="H174" s="1" t="s">
        <v>388</v>
      </c>
      <c r="I174">
        <v>98543.63</v>
      </c>
      <c r="J174">
        <v>289968</v>
      </c>
      <c r="K174">
        <v>30808</v>
      </c>
      <c r="L174">
        <v>851</v>
      </c>
      <c r="M174">
        <v>119976.32000000001</v>
      </c>
      <c r="N174" s="1" t="s">
        <v>389</v>
      </c>
      <c r="O174">
        <v>8</v>
      </c>
      <c r="P174" s="8">
        <v>0.106246206477956</v>
      </c>
      <c r="Q174" s="8">
        <v>2.7622695403791201E-2</v>
      </c>
      <c r="R174" s="1">
        <v>115.79745005875441</v>
      </c>
      <c r="S174" s="3">
        <v>1.2174944235360521</v>
      </c>
      <c r="T174" s="1">
        <v>21432.690000000002</v>
      </c>
      <c r="U174" s="2">
        <v>45588</v>
      </c>
      <c r="V174" s="10">
        <v>14.97</v>
      </c>
      <c r="W174">
        <v>223</v>
      </c>
      <c r="X174" s="3">
        <v>3.8943235523240718</v>
      </c>
      <c r="Y174" s="7">
        <v>8.635768745275569E-3</v>
      </c>
      <c r="Z174">
        <v>0.82135899817563995</v>
      </c>
      <c r="AA174"/>
      <c r="AB174"/>
    </row>
    <row r="175" spans="1:28" x14ac:dyDescent="0.3">
      <c r="A175" s="1" t="s">
        <v>190</v>
      </c>
      <c r="B175" s="1" t="s">
        <v>367</v>
      </c>
      <c r="C175" s="2">
        <v>45544</v>
      </c>
      <c r="D175" s="2">
        <v>45550</v>
      </c>
      <c r="E175" s="1" t="s">
        <v>375</v>
      </c>
      <c r="F175" s="1" t="s">
        <v>380</v>
      </c>
      <c r="G175" s="1" t="s">
        <v>382</v>
      </c>
      <c r="H175" s="1" t="s">
        <v>387</v>
      </c>
      <c r="I175">
        <v>94051.87</v>
      </c>
      <c r="J175">
        <v>338963</v>
      </c>
      <c r="K175">
        <v>37576</v>
      </c>
      <c r="L175">
        <v>991</v>
      </c>
      <c r="M175">
        <v>197523.72</v>
      </c>
      <c r="N175" s="1" t="s">
        <v>391</v>
      </c>
      <c r="O175">
        <v>6</v>
      </c>
      <c r="P175" s="8">
        <v>0.110855757118034</v>
      </c>
      <c r="Q175" s="8">
        <v>2.63732169469874E-2</v>
      </c>
      <c r="R175" s="1">
        <v>94.906024217961644</v>
      </c>
      <c r="S175" s="3">
        <v>2.1001572855489212</v>
      </c>
      <c r="T175" s="1">
        <v>103471.85</v>
      </c>
      <c r="U175" s="2">
        <v>45550</v>
      </c>
      <c r="V175" s="10">
        <v>42.55</v>
      </c>
      <c r="W175">
        <v>6</v>
      </c>
      <c r="X175" s="3">
        <v>5.2566457313178621</v>
      </c>
      <c r="Y175" s="7">
        <v>1.0536738929273815E-2</v>
      </c>
      <c r="Z175">
        <v>0.47615481320420699</v>
      </c>
      <c r="AA175"/>
      <c r="AB175"/>
    </row>
    <row r="176" spans="1:28" x14ac:dyDescent="0.3">
      <c r="A176" s="1" t="s">
        <v>191</v>
      </c>
      <c r="B176" s="1" t="s">
        <v>367</v>
      </c>
      <c r="C176" s="2">
        <v>45521</v>
      </c>
      <c r="D176" s="2">
        <v>45591</v>
      </c>
      <c r="E176" s="1" t="s">
        <v>373</v>
      </c>
      <c r="F176" s="1" t="s">
        <v>380</v>
      </c>
      <c r="G176" s="1" t="s">
        <v>383</v>
      </c>
      <c r="H176" s="1" t="s">
        <v>388</v>
      </c>
      <c r="I176">
        <v>9101.5</v>
      </c>
      <c r="J176">
        <v>545384</v>
      </c>
      <c r="K176">
        <v>17715</v>
      </c>
      <c r="L176">
        <v>1457</v>
      </c>
      <c r="M176">
        <v>240440.27</v>
      </c>
      <c r="N176" s="1" t="s">
        <v>391</v>
      </c>
      <c r="O176">
        <v>7</v>
      </c>
      <c r="P176" s="8">
        <v>3.2481700966658401E-2</v>
      </c>
      <c r="Q176" s="8">
        <v>8.2246683601467696E-2</v>
      </c>
      <c r="R176" s="1">
        <v>6.2467398764584763</v>
      </c>
      <c r="S176" s="3">
        <v>26.417653134098774</v>
      </c>
      <c r="T176" s="1">
        <v>231338.77</v>
      </c>
      <c r="U176" s="2">
        <v>45591</v>
      </c>
      <c r="V176" s="10">
        <v>27.48</v>
      </c>
      <c r="W176">
        <v>70</v>
      </c>
      <c r="X176" s="3">
        <v>13.572693762348292</v>
      </c>
      <c r="Y176" s="7">
        <v>0.16008350271933197</v>
      </c>
      <c r="Z176">
        <v>3.7853476042095602E-2</v>
      </c>
      <c r="AA176"/>
      <c r="AB176"/>
    </row>
    <row r="177" spans="1:28" x14ac:dyDescent="0.3">
      <c r="A177" s="1" t="s">
        <v>192</v>
      </c>
      <c r="B177" s="1" t="s">
        <v>370</v>
      </c>
      <c r="C177" s="2">
        <v>45298</v>
      </c>
      <c r="D177" s="2">
        <v>45607</v>
      </c>
      <c r="E177" s="1" t="s">
        <v>372</v>
      </c>
      <c r="F177" s="1" t="s">
        <v>378</v>
      </c>
      <c r="G177" s="1" t="s">
        <v>383</v>
      </c>
      <c r="H177" s="1" t="s">
        <v>388</v>
      </c>
      <c r="I177">
        <v>20657.41</v>
      </c>
      <c r="J177">
        <v>928483</v>
      </c>
      <c r="K177">
        <v>45409</v>
      </c>
      <c r="L177">
        <v>1333</v>
      </c>
      <c r="M177">
        <v>193258.98</v>
      </c>
      <c r="N177" s="1" t="s">
        <v>389</v>
      </c>
      <c r="O177">
        <v>4</v>
      </c>
      <c r="P177" s="8">
        <v>4.8906657418606503E-2</v>
      </c>
      <c r="Q177" s="8">
        <v>2.93554141249532E-2</v>
      </c>
      <c r="R177" s="1">
        <v>15.496931732933232</v>
      </c>
      <c r="S177" s="3">
        <v>9.355431295598045</v>
      </c>
      <c r="T177" s="1">
        <v>172601.57</v>
      </c>
      <c r="U177" s="2">
        <v>45607</v>
      </c>
      <c r="V177" s="10">
        <v>43.82</v>
      </c>
      <c r="W177">
        <v>309</v>
      </c>
      <c r="X177" s="3">
        <v>4.255962033958026</v>
      </c>
      <c r="Y177" s="7">
        <v>6.4528902703678725E-2</v>
      </c>
      <c r="Z177">
        <v>0.106889780749127</v>
      </c>
      <c r="AA177"/>
      <c r="AB177"/>
    </row>
    <row r="178" spans="1:28" x14ac:dyDescent="0.3">
      <c r="A178" s="1" t="s">
        <v>193</v>
      </c>
      <c r="B178" s="1" t="s">
        <v>369</v>
      </c>
      <c r="C178" s="2">
        <v>45465</v>
      </c>
      <c r="D178" s="2">
        <v>45612</v>
      </c>
      <c r="E178" s="1" t="s">
        <v>375</v>
      </c>
      <c r="F178" s="1" t="s">
        <v>379</v>
      </c>
      <c r="G178" s="1" t="s">
        <v>384</v>
      </c>
      <c r="H178" s="1" t="s">
        <v>386</v>
      </c>
      <c r="I178">
        <v>17514.23</v>
      </c>
      <c r="J178">
        <v>571121</v>
      </c>
      <c r="K178">
        <v>25306</v>
      </c>
      <c r="L178">
        <v>463</v>
      </c>
      <c r="M178">
        <v>215249.68</v>
      </c>
      <c r="N178" s="1" t="s">
        <v>391</v>
      </c>
      <c r="O178">
        <v>7</v>
      </c>
      <c r="P178" s="8">
        <v>4.4309349507372302E-2</v>
      </c>
      <c r="Q178" s="8">
        <v>1.8296056271240001E-2</v>
      </c>
      <c r="R178" s="1">
        <v>37.827710583153348</v>
      </c>
      <c r="S178" s="3">
        <v>12.289988198168004</v>
      </c>
      <c r="T178" s="1">
        <v>197735.44999999998</v>
      </c>
      <c r="U178" s="2">
        <v>45612</v>
      </c>
      <c r="V178" s="10">
        <v>36.22</v>
      </c>
      <c r="W178">
        <v>147</v>
      </c>
      <c r="X178" s="3">
        <v>8.5058752864933211</v>
      </c>
      <c r="Y178" s="7">
        <v>2.6435646899692421E-2</v>
      </c>
      <c r="Z178">
        <v>8.1367043147288307E-2</v>
      </c>
      <c r="AA178"/>
      <c r="AB178"/>
    </row>
    <row r="179" spans="1:28" x14ac:dyDescent="0.3">
      <c r="A179" s="1" t="s">
        <v>194</v>
      </c>
      <c r="B179" s="1" t="s">
        <v>371</v>
      </c>
      <c r="C179" s="2">
        <v>45432</v>
      </c>
      <c r="D179" s="2">
        <v>45534</v>
      </c>
      <c r="E179" s="1" t="s">
        <v>373</v>
      </c>
      <c r="F179" s="1" t="s">
        <v>378</v>
      </c>
      <c r="G179" s="1" t="s">
        <v>382</v>
      </c>
      <c r="H179" s="1" t="s">
        <v>388</v>
      </c>
      <c r="I179">
        <v>73968.09</v>
      </c>
      <c r="J179">
        <v>1253865</v>
      </c>
      <c r="K179">
        <v>20086</v>
      </c>
      <c r="L179">
        <v>1431</v>
      </c>
      <c r="M179">
        <v>154735.43</v>
      </c>
      <c r="N179" s="1" t="s">
        <v>389</v>
      </c>
      <c r="O179">
        <v>9</v>
      </c>
      <c r="P179" s="8">
        <v>1.6019268422039101E-2</v>
      </c>
      <c r="Q179" s="8">
        <v>7.1243652295130896E-2</v>
      </c>
      <c r="R179" s="1">
        <v>51.689790356394127</v>
      </c>
      <c r="S179" s="3">
        <v>2.0919213947527915</v>
      </c>
      <c r="T179" s="1">
        <v>80767.34</v>
      </c>
      <c r="U179" s="2">
        <v>45534</v>
      </c>
      <c r="V179" s="10">
        <v>38.130000000000003</v>
      </c>
      <c r="W179">
        <v>102</v>
      </c>
      <c r="X179" s="3">
        <v>7.7036458229612661</v>
      </c>
      <c r="Y179" s="7">
        <v>1.9346180224472473E-2</v>
      </c>
      <c r="Z179">
        <v>0.47802943385364299</v>
      </c>
      <c r="AA179"/>
      <c r="AB179"/>
    </row>
    <row r="180" spans="1:28" x14ac:dyDescent="0.3">
      <c r="A180" s="1" t="s">
        <v>195</v>
      </c>
      <c r="B180" s="1" t="s">
        <v>368</v>
      </c>
      <c r="C180" s="2">
        <v>45459</v>
      </c>
      <c r="D180" s="2">
        <v>45486</v>
      </c>
      <c r="E180" s="1" t="s">
        <v>373</v>
      </c>
      <c r="F180" s="1" t="s">
        <v>380</v>
      </c>
      <c r="G180" s="1" t="s">
        <v>385</v>
      </c>
      <c r="H180" s="1" t="s">
        <v>387</v>
      </c>
      <c r="I180">
        <v>82689.61</v>
      </c>
      <c r="J180">
        <v>1360077</v>
      </c>
      <c r="K180">
        <v>15376</v>
      </c>
      <c r="L180">
        <v>1148</v>
      </c>
      <c r="M180">
        <v>210497.88</v>
      </c>
      <c r="N180" s="1" t="s">
        <v>391</v>
      </c>
      <c r="O180">
        <v>8</v>
      </c>
      <c r="P180" s="8">
        <v>1.1305242276724E-2</v>
      </c>
      <c r="Q180" s="8">
        <v>7.4661810613943794E-2</v>
      </c>
      <c r="R180" s="1">
        <v>72.029277003484324</v>
      </c>
      <c r="S180" s="3">
        <v>2.5456388051654857</v>
      </c>
      <c r="T180" s="1">
        <v>127808.27</v>
      </c>
      <c r="U180" s="2">
        <v>45486</v>
      </c>
      <c r="V180" s="10">
        <v>72.27</v>
      </c>
      <c r="W180">
        <v>27</v>
      </c>
      <c r="X180" s="3">
        <v>13.690028616024975</v>
      </c>
      <c r="Y180" s="7">
        <v>1.3883243614282375E-2</v>
      </c>
      <c r="Z180">
        <v>0.39282870687343702</v>
      </c>
      <c r="AA180"/>
      <c r="AB180"/>
    </row>
    <row r="181" spans="1:28" x14ac:dyDescent="0.3">
      <c r="A181" s="1" t="s">
        <v>196</v>
      </c>
      <c r="B181" s="1" t="s">
        <v>371</v>
      </c>
      <c r="C181" s="2">
        <v>45461</v>
      </c>
      <c r="D181" s="2">
        <v>45326</v>
      </c>
      <c r="E181" s="1" t="s">
        <v>374</v>
      </c>
      <c r="F181" s="1" t="s">
        <v>379</v>
      </c>
      <c r="G181" s="1" t="s">
        <v>383</v>
      </c>
      <c r="H181" s="1" t="s">
        <v>387</v>
      </c>
      <c r="I181">
        <v>25283.58</v>
      </c>
      <c r="J181">
        <v>569165</v>
      </c>
      <c r="K181">
        <v>6889</v>
      </c>
      <c r="L181">
        <v>1428</v>
      </c>
      <c r="M181">
        <v>198261.01</v>
      </c>
      <c r="N181" s="1" t="s">
        <v>390</v>
      </c>
      <c r="O181">
        <v>5</v>
      </c>
      <c r="P181" s="8">
        <v>1.21036957648485E-2</v>
      </c>
      <c r="Q181" s="8">
        <v>0.20728697924226999</v>
      </c>
      <c r="R181" s="1">
        <v>17.705588235294119</v>
      </c>
      <c r="S181" s="3">
        <v>7.8414927791080213</v>
      </c>
      <c r="T181" s="1">
        <v>172977.43</v>
      </c>
      <c r="U181" s="2">
        <v>45491</v>
      </c>
      <c r="V181" s="10">
        <v>40.67</v>
      </c>
      <c r="W181">
        <v>30</v>
      </c>
      <c r="X181" s="3">
        <v>28.779359849034694</v>
      </c>
      <c r="Y181" s="7">
        <v>5.6479343510689541E-2</v>
      </c>
      <c r="Z181">
        <v>0.127526738615929</v>
      </c>
      <c r="AA181"/>
      <c r="AB181"/>
    </row>
    <row r="182" spans="1:28" x14ac:dyDescent="0.3">
      <c r="A182" s="1" t="s">
        <v>197</v>
      </c>
      <c r="B182" s="1" t="s">
        <v>371</v>
      </c>
      <c r="C182" s="2">
        <v>45574</v>
      </c>
      <c r="D182" s="2">
        <v>45399</v>
      </c>
      <c r="E182" s="1" t="s">
        <v>372</v>
      </c>
      <c r="F182" s="1" t="s">
        <v>380</v>
      </c>
      <c r="G182" s="1" t="s">
        <v>384</v>
      </c>
      <c r="H182" s="1" t="s">
        <v>387</v>
      </c>
      <c r="I182">
        <v>53056.01</v>
      </c>
      <c r="J182">
        <v>269780</v>
      </c>
      <c r="K182">
        <v>38822</v>
      </c>
      <c r="L182">
        <v>1657</v>
      </c>
      <c r="M182">
        <v>100476.53</v>
      </c>
      <c r="N182" s="1" t="s">
        <v>391</v>
      </c>
      <c r="O182">
        <v>4</v>
      </c>
      <c r="P182" s="8">
        <v>0.14390243902439001</v>
      </c>
      <c r="Q182" s="8">
        <v>4.2681984441811302E-2</v>
      </c>
      <c r="R182" s="1">
        <v>32.019318044659023</v>
      </c>
      <c r="S182" s="3">
        <v>1.8937822501164334</v>
      </c>
      <c r="T182" s="1">
        <v>47420.52</v>
      </c>
      <c r="U182" s="2">
        <v>45604</v>
      </c>
      <c r="V182" s="10">
        <v>12.22</v>
      </c>
      <c r="W182">
        <v>30</v>
      </c>
      <c r="X182" s="3">
        <v>2.5881337901190045</v>
      </c>
      <c r="Y182" s="7">
        <v>3.1231146103900386E-2</v>
      </c>
      <c r="Z182">
        <v>0.52804381281877499</v>
      </c>
      <c r="AA182"/>
      <c r="AB182"/>
    </row>
    <row r="183" spans="1:28" x14ac:dyDescent="0.3">
      <c r="A183" s="1" t="s">
        <v>198</v>
      </c>
      <c r="B183" s="1" t="s">
        <v>369</v>
      </c>
      <c r="C183" s="2">
        <v>45413</v>
      </c>
      <c r="D183" s="2">
        <v>45383</v>
      </c>
      <c r="E183" s="1" t="s">
        <v>374</v>
      </c>
      <c r="F183" s="1" t="s">
        <v>379</v>
      </c>
      <c r="G183" s="1" t="s">
        <v>385</v>
      </c>
      <c r="H183" s="1" t="s">
        <v>387</v>
      </c>
      <c r="I183">
        <v>84866.79</v>
      </c>
      <c r="J183">
        <v>1393714</v>
      </c>
      <c r="K183">
        <v>37636</v>
      </c>
      <c r="L183">
        <v>1844</v>
      </c>
      <c r="M183">
        <v>142477.67000000001</v>
      </c>
      <c r="N183" s="1" t="s">
        <v>389</v>
      </c>
      <c r="O183">
        <v>6</v>
      </c>
      <c r="P183" s="8">
        <v>2.7004105576897398E-2</v>
      </c>
      <c r="Q183" s="8">
        <v>4.8995642469975599E-2</v>
      </c>
      <c r="R183" s="1">
        <v>46.02320498915401</v>
      </c>
      <c r="S183" s="3">
        <v>1.6788389192050273</v>
      </c>
      <c r="T183" s="1">
        <v>57610.880000000019</v>
      </c>
      <c r="U183" s="2">
        <v>45443</v>
      </c>
      <c r="V183" s="10">
        <v>51.73</v>
      </c>
      <c r="W183">
        <v>30</v>
      </c>
      <c r="X183" s="3">
        <v>3.785675151450739</v>
      </c>
      <c r="Y183" s="7">
        <v>2.1728169523084356E-2</v>
      </c>
      <c r="Z183">
        <v>0.59564976041508799</v>
      </c>
      <c r="AA183"/>
      <c r="AB183"/>
    </row>
    <row r="184" spans="1:28" x14ac:dyDescent="0.3">
      <c r="A184" s="1" t="s">
        <v>199</v>
      </c>
      <c r="B184" s="1" t="s">
        <v>371</v>
      </c>
      <c r="C184" s="2">
        <v>45485</v>
      </c>
      <c r="D184" s="2">
        <v>45453</v>
      </c>
      <c r="E184" s="1" t="s">
        <v>376</v>
      </c>
      <c r="F184" s="1" t="s">
        <v>381</v>
      </c>
      <c r="G184" s="1" t="s">
        <v>382</v>
      </c>
      <c r="H184" s="1" t="s">
        <v>386</v>
      </c>
      <c r="I184">
        <v>74616.149999999994</v>
      </c>
      <c r="J184">
        <v>1768972</v>
      </c>
      <c r="K184">
        <v>21584</v>
      </c>
      <c r="L184">
        <v>959</v>
      </c>
      <c r="M184">
        <v>203140.75</v>
      </c>
      <c r="N184" s="1" t="s">
        <v>391</v>
      </c>
      <c r="O184">
        <v>8</v>
      </c>
      <c r="P184" s="8">
        <v>1.2201436766664501E-2</v>
      </c>
      <c r="Q184" s="8">
        <v>4.4431060044477402E-2</v>
      </c>
      <c r="R184" s="1">
        <v>77.806204379562033</v>
      </c>
      <c r="S184" s="3">
        <v>2.7224769704681897</v>
      </c>
      <c r="T184" s="1">
        <v>128524.6</v>
      </c>
      <c r="U184" s="2">
        <v>45515</v>
      </c>
      <c r="V184" s="10">
        <v>49.74</v>
      </c>
      <c r="W184">
        <v>30</v>
      </c>
      <c r="X184" s="3">
        <v>9.4116359340252043</v>
      </c>
      <c r="Y184" s="7">
        <v>1.2852445482646854E-2</v>
      </c>
      <c r="Z184">
        <v>0.36731256530262901</v>
      </c>
      <c r="AA184"/>
      <c r="AB184"/>
    </row>
    <row r="185" spans="1:28" x14ac:dyDescent="0.3">
      <c r="A185" s="1" t="s">
        <v>200</v>
      </c>
      <c r="B185" s="1" t="s">
        <v>370</v>
      </c>
      <c r="C185" s="2">
        <v>45296</v>
      </c>
      <c r="D185" s="2">
        <v>45410</v>
      </c>
      <c r="E185" s="1" t="s">
        <v>374</v>
      </c>
      <c r="F185" s="1" t="s">
        <v>380</v>
      </c>
      <c r="G185" s="1" t="s">
        <v>384</v>
      </c>
      <c r="H185" s="1" t="s">
        <v>388</v>
      </c>
      <c r="I185">
        <v>56512.53</v>
      </c>
      <c r="J185">
        <v>1831211</v>
      </c>
      <c r="K185">
        <v>35610</v>
      </c>
      <c r="L185">
        <v>237</v>
      </c>
      <c r="M185">
        <v>21053.62</v>
      </c>
      <c r="N185" s="1" t="s">
        <v>389</v>
      </c>
      <c r="O185">
        <v>5</v>
      </c>
      <c r="P185" s="8">
        <v>1.9446147931614699E-2</v>
      </c>
      <c r="Q185" s="8">
        <v>6.6554338668913197E-3</v>
      </c>
      <c r="R185" s="1">
        <v>238.44949367088608</v>
      </c>
      <c r="S185" s="3">
        <v>0.37254782258023134</v>
      </c>
      <c r="T185" s="1">
        <v>-35458.910000000003</v>
      </c>
      <c r="U185" s="2">
        <v>45410</v>
      </c>
      <c r="V185" s="10">
        <v>36.99</v>
      </c>
      <c r="W185">
        <v>114</v>
      </c>
      <c r="X185" s="3">
        <v>0.59122774501544506</v>
      </c>
      <c r="Y185" s="7">
        <v>4.1937602156548294E-3</v>
      </c>
      <c r="Z185">
        <v>2.6842191509108599</v>
      </c>
      <c r="AA185"/>
      <c r="AB185"/>
    </row>
    <row r="186" spans="1:28" x14ac:dyDescent="0.3">
      <c r="A186" s="1" t="s">
        <v>201</v>
      </c>
      <c r="B186" s="1" t="s">
        <v>370</v>
      </c>
      <c r="C186" s="2">
        <v>45320</v>
      </c>
      <c r="D186" s="2">
        <v>45558</v>
      </c>
      <c r="E186" s="1" t="s">
        <v>374</v>
      </c>
      <c r="F186" s="1" t="s">
        <v>380</v>
      </c>
      <c r="G186" s="1" t="s">
        <v>383</v>
      </c>
      <c r="H186" s="1" t="s">
        <v>386</v>
      </c>
      <c r="I186">
        <v>61083.03</v>
      </c>
      <c r="J186">
        <v>1196332</v>
      </c>
      <c r="K186">
        <v>11058</v>
      </c>
      <c r="L186">
        <v>1758</v>
      </c>
      <c r="M186">
        <v>203939.03</v>
      </c>
      <c r="N186" s="1" t="s">
        <v>389</v>
      </c>
      <c r="O186">
        <v>7</v>
      </c>
      <c r="P186" s="8">
        <v>9.2432535450025603E-3</v>
      </c>
      <c r="Q186" s="8">
        <v>0.15897992403689601</v>
      </c>
      <c r="R186" s="1">
        <v>34.74575085324232</v>
      </c>
      <c r="S186" s="3">
        <v>3.3387182986829567</v>
      </c>
      <c r="T186" s="1">
        <v>142856</v>
      </c>
      <c r="U186" s="2">
        <v>45558</v>
      </c>
      <c r="V186" s="10">
        <v>34.08</v>
      </c>
      <c r="W186">
        <v>238</v>
      </c>
      <c r="X186" s="3">
        <v>18.442668656176522</v>
      </c>
      <c r="Y186" s="7">
        <v>2.8780497627573485E-2</v>
      </c>
      <c r="Z186">
        <v>0.29951613479773798</v>
      </c>
      <c r="AA186"/>
      <c r="AB186"/>
    </row>
    <row r="187" spans="1:28" x14ac:dyDescent="0.3">
      <c r="A187" s="1" t="s">
        <v>202</v>
      </c>
      <c r="B187" s="1" t="s">
        <v>367</v>
      </c>
      <c r="C187" s="2">
        <v>45456</v>
      </c>
      <c r="D187" s="2">
        <v>45363</v>
      </c>
      <c r="E187" s="1" t="s">
        <v>375</v>
      </c>
      <c r="F187" s="1" t="s">
        <v>378</v>
      </c>
      <c r="G187" s="1" t="s">
        <v>385</v>
      </c>
      <c r="H187" s="1" t="s">
        <v>388</v>
      </c>
      <c r="I187">
        <v>53294.25</v>
      </c>
      <c r="J187">
        <v>492632</v>
      </c>
      <c r="K187">
        <v>10101</v>
      </c>
      <c r="L187">
        <v>1363</v>
      </c>
      <c r="M187">
        <v>52693.15</v>
      </c>
      <c r="N187" s="1" t="s">
        <v>390</v>
      </c>
      <c r="O187">
        <v>5</v>
      </c>
      <c r="P187" s="8">
        <v>2.05041491417529E-2</v>
      </c>
      <c r="Q187" s="8">
        <v>0.13493713493713499</v>
      </c>
      <c r="R187" s="1">
        <v>39.100696991929567</v>
      </c>
      <c r="S187" s="3">
        <v>0.98872110968819338</v>
      </c>
      <c r="T187" s="1">
        <v>-601.09999999999854</v>
      </c>
      <c r="U187" s="2">
        <v>45486</v>
      </c>
      <c r="V187" s="10">
        <v>70.349999999999994</v>
      </c>
      <c r="W187">
        <v>30</v>
      </c>
      <c r="X187" s="3">
        <v>5.2166270666270664</v>
      </c>
      <c r="Y187" s="7">
        <v>2.55749916735858E-2</v>
      </c>
      <c r="Z187">
        <v>1.0114075548719299</v>
      </c>
      <c r="AA187"/>
      <c r="AB187"/>
    </row>
    <row r="188" spans="1:28" x14ac:dyDescent="0.3">
      <c r="A188" s="1" t="s">
        <v>203</v>
      </c>
      <c r="B188" s="1" t="s">
        <v>368</v>
      </c>
      <c r="C188" s="2">
        <v>45427</v>
      </c>
      <c r="D188" s="2">
        <v>45410</v>
      </c>
      <c r="E188" s="1" t="s">
        <v>377</v>
      </c>
      <c r="F188" s="1" t="s">
        <v>380</v>
      </c>
      <c r="G188" s="1" t="s">
        <v>383</v>
      </c>
      <c r="H188" s="1" t="s">
        <v>388</v>
      </c>
      <c r="I188">
        <v>33267.1</v>
      </c>
      <c r="J188">
        <v>977091</v>
      </c>
      <c r="K188">
        <v>13497</v>
      </c>
      <c r="L188">
        <v>94</v>
      </c>
      <c r="M188">
        <v>133524.07</v>
      </c>
      <c r="N188" s="1" t="s">
        <v>390</v>
      </c>
      <c r="O188">
        <v>8</v>
      </c>
      <c r="P188" s="8">
        <v>1.3813452380586899E-2</v>
      </c>
      <c r="Q188" s="8">
        <v>6.9645106319922998E-3</v>
      </c>
      <c r="R188" s="1">
        <v>353.90531914893614</v>
      </c>
      <c r="S188" s="3">
        <v>4.0136973165680212</v>
      </c>
      <c r="T188" s="1">
        <v>100256.97</v>
      </c>
      <c r="U188" s="2">
        <v>45457</v>
      </c>
      <c r="V188" s="10">
        <v>41.27</v>
      </c>
      <c r="W188">
        <v>30</v>
      </c>
      <c r="X188" s="3">
        <v>9.8928702674668454</v>
      </c>
      <c r="Y188" s="7">
        <v>2.8256144960035591E-3</v>
      </c>
      <c r="Z188">
        <v>0.24914683921782799</v>
      </c>
      <c r="AA188"/>
      <c r="AB188"/>
    </row>
    <row r="189" spans="1:28" x14ac:dyDescent="0.3">
      <c r="A189" s="1" t="s">
        <v>204</v>
      </c>
      <c r="B189" s="1" t="s">
        <v>371</v>
      </c>
      <c r="C189" s="2">
        <v>45436</v>
      </c>
      <c r="D189" s="2">
        <v>45617</v>
      </c>
      <c r="E189" s="1" t="s">
        <v>373</v>
      </c>
      <c r="F189" s="1" t="s">
        <v>380</v>
      </c>
      <c r="G189" s="1" t="s">
        <v>382</v>
      </c>
      <c r="H189" s="1" t="s">
        <v>388</v>
      </c>
      <c r="I189">
        <v>58677.09</v>
      </c>
      <c r="J189">
        <v>1077557</v>
      </c>
      <c r="K189">
        <v>5658</v>
      </c>
      <c r="L189">
        <v>1646</v>
      </c>
      <c r="M189">
        <v>203986.11</v>
      </c>
      <c r="N189" s="1" t="s">
        <v>389</v>
      </c>
      <c r="O189">
        <v>8</v>
      </c>
      <c r="P189" s="8">
        <v>5.2507663167702502E-3</v>
      </c>
      <c r="Q189" s="8">
        <v>0.29091551785083097</v>
      </c>
      <c r="R189" s="1">
        <v>35.648292831105707</v>
      </c>
      <c r="S189" s="3">
        <v>3.4764183090879253</v>
      </c>
      <c r="T189" s="1">
        <v>145309.01999999999</v>
      </c>
      <c r="U189" s="2">
        <v>45617</v>
      </c>
      <c r="V189" s="10">
        <v>29.51</v>
      </c>
      <c r="W189">
        <v>181</v>
      </c>
      <c r="X189" s="3">
        <v>36.052688229056201</v>
      </c>
      <c r="Y189" s="7">
        <v>2.8051834199685093E-2</v>
      </c>
      <c r="Z189">
        <v>0.28765237986057002</v>
      </c>
      <c r="AA189"/>
      <c r="AB189"/>
    </row>
    <row r="190" spans="1:28" x14ac:dyDescent="0.3">
      <c r="A190" s="1" t="s">
        <v>205</v>
      </c>
      <c r="B190" s="1" t="s">
        <v>371</v>
      </c>
      <c r="C190" s="2">
        <v>45508</v>
      </c>
      <c r="D190" s="2">
        <v>45616</v>
      </c>
      <c r="E190" s="1" t="s">
        <v>372</v>
      </c>
      <c r="F190" s="1" t="s">
        <v>381</v>
      </c>
      <c r="G190" s="1" t="s">
        <v>385</v>
      </c>
      <c r="H190" s="1" t="s">
        <v>386</v>
      </c>
      <c r="I190">
        <v>70444.100000000006</v>
      </c>
      <c r="J190">
        <v>1194241</v>
      </c>
      <c r="K190">
        <v>12381</v>
      </c>
      <c r="L190">
        <v>132</v>
      </c>
      <c r="M190">
        <v>70917.06</v>
      </c>
      <c r="N190" s="1" t="s">
        <v>391</v>
      </c>
      <c r="O190">
        <v>9</v>
      </c>
      <c r="P190" s="8">
        <v>1.03672541806888E-2</v>
      </c>
      <c r="Q190" s="8">
        <v>1.0661497455779E-2</v>
      </c>
      <c r="R190" s="1">
        <v>533.66742424242432</v>
      </c>
      <c r="S190" s="3">
        <v>1.0067139760462549</v>
      </c>
      <c r="T190" s="1">
        <v>472.95999999999185</v>
      </c>
      <c r="U190" s="2">
        <v>45616</v>
      </c>
      <c r="V190" s="10">
        <v>50.45</v>
      </c>
      <c r="W190">
        <v>108</v>
      </c>
      <c r="X190" s="3">
        <v>5.7278943542524834</v>
      </c>
      <c r="Y190" s="7">
        <v>1.8738261969419724E-3</v>
      </c>
      <c r="Z190">
        <v>0.99333080079743896</v>
      </c>
      <c r="AA190"/>
      <c r="AB190"/>
    </row>
    <row r="191" spans="1:28" x14ac:dyDescent="0.3">
      <c r="A191" s="1" t="s">
        <v>206</v>
      </c>
      <c r="B191" s="1" t="s">
        <v>369</v>
      </c>
      <c r="C191" s="2">
        <v>45423</v>
      </c>
      <c r="D191" s="2">
        <v>45425</v>
      </c>
      <c r="E191" s="1" t="s">
        <v>374</v>
      </c>
      <c r="F191" s="1" t="s">
        <v>380</v>
      </c>
      <c r="G191" s="1" t="s">
        <v>382</v>
      </c>
      <c r="H191" s="1" t="s">
        <v>388</v>
      </c>
      <c r="I191">
        <v>87965.68</v>
      </c>
      <c r="J191">
        <v>1754581</v>
      </c>
      <c r="K191">
        <v>41312</v>
      </c>
      <c r="L191">
        <v>1196</v>
      </c>
      <c r="M191">
        <v>68993.789999999994</v>
      </c>
      <c r="N191" s="1" t="s">
        <v>389</v>
      </c>
      <c r="O191">
        <v>9</v>
      </c>
      <c r="P191" s="8">
        <v>2.35452224776172E-2</v>
      </c>
      <c r="Q191" s="8">
        <v>2.8950426026336198E-2</v>
      </c>
      <c r="R191" s="1">
        <v>73.549899665551834</v>
      </c>
      <c r="S191" s="3">
        <v>0.78432622813806474</v>
      </c>
      <c r="T191" s="1">
        <v>-18971.89</v>
      </c>
      <c r="U191" s="2">
        <v>45425</v>
      </c>
      <c r="V191" s="10">
        <v>32.229999999999997</v>
      </c>
      <c r="W191">
        <v>2</v>
      </c>
      <c r="X191" s="3">
        <v>1.6700665666150269</v>
      </c>
      <c r="Y191" s="7">
        <v>1.3596211613438334E-2</v>
      </c>
      <c r="Z191">
        <v>1.27497967570705</v>
      </c>
      <c r="AA191"/>
      <c r="AB191"/>
    </row>
    <row r="192" spans="1:28" x14ac:dyDescent="0.3">
      <c r="A192" s="1" t="s">
        <v>207</v>
      </c>
      <c r="B192" s="1" t="s">
        <v>370</v>
      </c>
      <c r="C192" s="2">
        <v>45583</v>
      </c>
      <c r="D192" s="2">
        <v>45335</v>
      </c>
      <c r="E192" s="1" t="s">
        <v>372</v>
      </c>
      <c r="F192" s="1" t="s">
        <v>381</v>
      </c>
      <c r="G192" s="1" t="s">
        <v>382</v>
      </c>
      <c r="H192" s="1" t="s">
        <v>386</v>
      </c>
      <c r="I192">
        <v>65447.68</v>
      </c>
      <c r="J192">
        <v>1260578</v>
      </c>
      <c r="K192">
        <v>41486</v>
      </c>
      <c r="L192">
        <v>407</v>
      </c>
      <c r="M192">
        <v>106663.46</v>
      </c>
      <c r="N192" s="1" t="s">
        <v>389</v>
      </c>
      <c r="O192">
        <v>5</v>
      </c>
      <c r="P192" s="8">
        <v>3.2910299878309797E-2</v>
      </c>
      <c r="Q192" s="8">
        <v>9.8105384949139507E-3</v>
      </c>
      <c r="R192" s="1">
        <v>160.80511056511057</v>
      </c>
      <c r="S192" s="3">
        <v>1.6297515817214607</v>
      </c>
      <c r="T192" s="1">
        <v>41215.780000000006</v>
      </c>
      <c r="U192" s="2">
        <v>45613</v>
      </c>
      <c r="V192" s="10">
        <v>41.78</v>
      </c>
      <c r="W192">
        <v>30</v>
      </c>
      <c r="X192" s="3">
        <v>2.5710712047437689</v>
      </c>
      <c r="Y192" s="7">
        <v>6.2187078289100547E-3</v>
      </c>
      <c r="Z192">
        <v>0.61359044606278501</v>
      </c>
      <c r="AA192"/>
      <c r="AB192"/>
    </row>
    <row r="193" spans="1:28" x14ac:dyDescent="0.3">
      <c r="A193" s="1" t="s">
        <v>208</v>
      </c>
      <c r="B193" s="1" t="s">
        <v>368</v>
      </c>
      <c r="C193" s="2">
        <v>45361</v>
      </c>
      <c r="D193" s="2">
        <v>45609</v>
      </c>
      <c r="E193" s="1" t="s">
        <v>377</v>
      </c>
      <c r="F193" s="1" t="s">
        <v>381</v>
      </c>
      <c r="G193" s="1" t="s">
        <v>384</v>
      </c>
      <c r="H193" s="1" t="s">
        <v>387</v>
      </c>
      <c r="I193">
        <v>77306.55</v>
      </c>
      <c r="J193">
        <v>1360267</v>
      </c>
      <c r="K193">
        <v>47619</v>
      </c>
      <c r="L193">
        <v>1601</v>
      </c>
      <c r="M193">
        <v>224714.27</v>
      </c>
      <c r="N193" s="1" t="s">
        <v>391</v>
      </c>
      <c r="O193">
        <v>7</v>
      </c>
      <c r="P193" s="8">
        <v>3.50070978712268E-2</v>
      </c>
      <c r="Q193" s="8">
        <v>3.3621033621033601E-2</v>
      </c>
      <c r="R193" s="1">
        <v>48.286414740787009</v>
      </c>
      <c r="S193" s="3">
        <v>2.9067947023893832</v>
      </c>
      <c r="T193" s="1">
        <v>147407.71999999997</v>
      </c>
      <c r="U193" s="2">
        <v>45609</v>
      </c>
      <c r="V193" s="10">
        <v>59.36</v>
      </c>
      <c r="W193">
        <v>248</v>
      </c>
      <c r="X193" s="3">
        <v>4.7190043890043887</v>
      </c>
      <c r="Y193" s="7">
        <v>2.0709758746186448E-2</v>
      </c>
      <c r="Z193">
        <v>0.34402154344715202</v>
      </c>
      <c r="AA193"/>
      <c r="AB193"/>
    </row>
    <row r="194" spans="1:28" x14ac:dyDescent="0.3">
      <c r="A194" s="1" t="s">
        <v>209</v>
      </c>
      <c r="B194" s="1" t="s">
        <v>367</v>
      </c>
      <c r="C194" s="2">
        <v>45543</v>
      </c>
      <c r="D194" s="2">
        <v>45500</v>
      </c>
      <c r="E194" s="1" t="s">
        <v>377</v>
      </c>
      <c r="F194" s="1" t="s">
        <v>381</v>
      </c>
      <c r="G194" s="1" t="s">
        <v>383</v>
      </c>
      <c r="H194" s="1" t="s">
        <v>387</v>
      </c>
      <c r="I194">
        <v>20206.810000000001</v>
      </c>
      <c r="J194">
        <v>1704699</v>
      </c>
      <c r="K194">
        <v>18154</v>
      </c>
      <c r="L194">
        <v>1139</v>
      </c>
      <c r="M194">
        <v>10106.27</v>
      </c>
      <c r="N194" s="1" t="s">
        <v>391</v>
      </c>
      <c r="O194">
        <v>5</v>
      </c>
      <c r="P194" s="8">
        <v>1.06493873698524E-2</v>
      </c>
      <c r="Q194" s="8">
        <v>6.2740993720392199E-2</v>
      </c>
      <c r="R194" s="1">
        <v>17.740834064969274</v>
      </c>
      <c r="S194" s="3">
        <v>0.50014178388375008</v>
      </c>
      <c r="T194" s="1">
        <v>-10100.540000000001</v>
      </c>
      <c r="U194" s="2">
        <v>45573</v>
      </c>
      <c r="V194" s="10">
        <v>75.92</v>
      </c>
      <c r="W194">
        <v>30</v>
      </c>
      <c r="X194" s="3">
        <v>0.55669659579156117</v>
      </c>
      <c r="Y194" s="7">
        <v>5.6367135633976856E-2</v>
      </c>
      <c r="Z194">
        <v>1.9994330252407699</v>
      </c>
      <c r="AA194"/>
      <c r="AB194"/>
    </row>
    <row r="195" spans="1:28" x14ac:dyDescent="0.3">
      <c r="A195" s="1" t="s">
        <v>210</v>
      </c>
      <c r="B195" s="1" t="s">
        <v>370</v>
      </c>
      <c r="C195" s="2">
        <v>45566</v>
      </c>
      <c r="D195" s="2">
        <v>45446</v>
      </c>
      <c r="E195" s="1" t="s">
        <v>374</v>
      </c>
      <c r="F195" s="1" t="s">
        <v>381</v>
      </c>
      <c r="G195" s="1" t="s">
        <v>385</v>
      </c>
      <c r="H195" s="1" t="s">
        <v>388</v>
      </c>
      <c r="I195">
        <v>48847.96</v>
      </c>
      <c r="J195">
        <v>1220808</v>
      </c>
      <c r="K195">
        <v>20539</v>
      </c>
      <c r="L195">
        <v>985</v>
      </c>
      <c r="M195">
        <v>226331.94</v>
      </c>
      <c r="N195" s="1" t="s">
        <v>391</v>
      </c>
      <c r="O195">
        <v>8</v>
      </c>
      <c r="P195" s="8">
        <v>1.6824103380711799E-2</v>
      </c>
      <c r="Q195" s="8">
        <v>4.7957544184234903E-2</v>
      </c>
      <c r="R195" s="1">
        <v>49.591837563451776</v>
      </c>
      <c r="S195" s="3">
        <v>4.6333959493907217</v>
      </c>
      <c r="T195" s="1">
        <v>177483.98</v>
      </c>
      <c r="U195" s="2">
        <v>45596</v>
      </c>
      <c r="V195" s="10">
        <v>49.44</v>
      </c>
      <c r="W195">
        <v>30</v>
      </c>
      <c r="X195" s="3">
        <v>11.019618287161011</v>
      </c>
      <c r="Y195" s="7">
        <v>2.016460871651549E-2</v>
      </c>
      <c r="Z195">
        <v>0.21582442142280001</v>
      </c>
      <c r="AA195"/>
      <c r="AB195"/>
    </row>
    <row r="196" spans="1:28" x14ac:dyDescent="0.3">
      <c r="A196" s="1" t="s">
        <v>211</v>
      </c>
      <c r="B196" s="1" t="s">
        <v>367</v>
      </c>
      <c r="C196" s="2">
        <v>45473</v>
      </c>
      <c r="D196" s="2">
        <v>45344</v>
      </c>
      <c r="E196" s="1" t="s">
        <v>376</v>
      </c>
      <c r="F196" s="1" t="s">
        <v>379</v>
      </c>
      <c r="G196" s="1" t="s">
        <v>382</v>
      </c>
      <c r="H196" s="1" t="s">
        <v>386</v>
      </c>
      <c r="I196">
        <v>5886.5</v>
      </c>
      <c r="J196">
        <v>1841425</v>
      </c>
      <c r="K196">
        <v>12777</v>
      </c>
      <c r="L196">
        <v>1730</v>
      </c>
      <c r="M196">
        <v>46913.69</v>
      </c>
      <c r="N196" s="1" t="s">
        <v>391</v>
      </c>
      <c r="O196">
        <v>8</v>
      </c>
      <c r="P196" s="8">
        <v>6.9386480578899502E-3</v>
      </c>
      <c r="Q196" s="8">
        <v>0.135399546059325</v>
      </c>
      <c r="R196" s="1">
        <v>3.4026011560693643</v>
      </c>
      <c r="S196" s="3">
        <v>7.9697086553979446</v>
      </c>
      <c r="T196" s="1">
        <v>41027.19</v>
      </c>
      <c r="U196" s="2">
        <v>45503</v>
      </c>
      <c r="V196" s="10">
        <v>24.79</v>
      </c>
      <c r="W196">
        <v>30</v>
      </c>
      <c r="X196" s="3">
        <v>3.6717296705016831</v>
      </c>
      <c r="Y196" s="7">
        <v>0.2938928055720717</v>
      </c>
      <c r="Z196">
        <v>0.12547510119114499</v>
      </c>
      <c r="AA196"/>
      <c r="AB196"/>
    </row>
    <row r="197" spans="1:28" x14ac:dyDescent="0.3">
      <c r="A197" s="1" t="s">
        <v>212</v>
      </c>
      <c r="B197" s="1" t="s">
        <v>369</v>
      </c>
      <c r="C197" s="2">
        <v>45458</v>
      </c>
      <c r="D197" s="2">
        <v>45384</v>
      </c>
      <c r="E197" s="1" t="s">
        <v>374</v>
      </c>
      <c r="F197" s="1" t="s">
        <v>378</v>
      </c>
      <c r="G197" s="1" t="s">
        <v>382</v>
      </c>
      <c r="H197" s="1" t="s">
        <v>387</v>
      </c>
      <c r="I197">
        <v>28434.49</v>
      </c>
      <c r="J197">
        <v>1543934</v>
      </c>
      <c r="K197">
        <v>35396</v>
      </c>
      <c r="L197">
        <v>424</v>
      </c>
      <c r="M197">
        <v>247620.73</v>
      </c>
      <c r="N197" s="1" t="s">
        <v>389</v>
      </c>
      <c r="O197">
        <v>6</v>
      </c>
      <c r="P197" s="8">
        <v>2.29258504573382E-2</v>
      </c>
      <c r="Q197" s="8">
        <v>1.1978754661543699E-2</v>
      </c>
      <c r="R197" s="1">
        <v>67.062476415094338</v>
      </c>
      <c r="S197" s="3">
        <v>8.7084639112570681</v>
      </c>
      <c r="T197" s="1">
        <v>219186.24000000002</v>
      </c>
      <c r="U197" s="2">
        <v>45488</v>
      </c>
      <c r="V197" s="10">
        <v>31.83</v>
      </c>
      <c r="W197">
        <v>30</v>
      </c>
      <c r="X197" s="3">
        <v>6.995726353260256</v>
      </c>
      <c r="Y197" s="7">
        <v>1.4911468431471779E-2</v>
      </c>
      <c r="Z197">
        <v>0.114830814043719</v>
      </c>
      <c r="AA197"/>
      <c r="AB197"/>
    </row>
    <row r="198" spans="1:28" x14ac:dyDescent="0.3">
      <c r="A198" s="1" t="s">
        <v>213</v>
      </c>
      <c r="B198" s="1" t="s">
        <v>369</v>
      </c>
      <c r="C198" s="2">
        <v>45382</v>
      </c>
      <c r="D198" s="2">
        <v>45464</v>
      </c>
      <c r="E198" s="1" t="s">
        <v>375</v>
      </c>
      <c r="F198" s="1" t="s">
        <v>379</v>
      </c>
      <c r="G198" s="1" t="s">
        <v>385</v>
      </c>
      <c r="H198" s="1" t="s">
        <v>386</v>
      </c>
      <c r="I198">
        <v>74013.86</v>
      </c>
      <c r="J198">
        <v>1341627</v>
      </c>
      <c r="K198">
        <v>31373</v>
      </c>
      <c r="L198">
        <v>211</v>
      </c>
      <c r="M198">
        <v>239163.28</v>
      </c>
      <c r="N198" s="1" t="s">
        <v>389</v>
      </c>
      <c r="O198">
        <v>9</v>
      </c>
      <c r="P198" s="8">
        <v>2.3384293846203202E-2</v>
      </c>
      <c r="Q198" s="8">
        <v>6.7255283205303901E-3</v>
      </c>
      <c r="R198" s="1">
        <v>350.7765876777251</v>
      </c>
      <c r="S198" s="3">
        <v>3.2313309966538699</v>
      </c>
      <c r="T198" s="1">
        <v>165149.41999999998</v>
      </c>
      <c r="U198" s="2">
        <v>45464</v>
      </c>
      <c r="V198" s="10">
        <v>22.28</v>
      </c>
      <c r="W198">
        <v>82</v>
      </c>
      <c r="X198" s="3">
        <v>7.6232199662129858</v>
      </c>
      <c r="Y198" s="7">
        <v>2.8508174009570638E-3</v>
      </c>
      <c r="Z198">
        <v>0.30946999890618698</v>
      </c>
      <c r="AA198"/>
      <c r="AB198"/>
    </row>
    <row r="199" spans="1:28" x14ac:dyDescent="0.3">
      <c r="A199" s="1" t="s">
        <v>214</v>
      </c>
      <c r="B199" s="1" t="s">
        <v>371</v>
      </c>
      <c r="C199" s="2">
        <v>45493</v>
      </c>
      <c r="D199" s="2">
        <v>45474</v>
      </c>
      <c r="E199" s="1" t="s">
        <v>373</v>
      </c>
      <c r="F199" s="1" t="s">
        <v>380</v>
      </c>
      <c r="G199" s="1" t="s">
        <v>382</v>
      </c>
      <c r="H199" s="1" t="s">
        <v>386</v>
      </c>
      <c r="I199">
        <v>99221.95</v>
      </c>
      <c r="J199">
        <v>1256123</v>
      </c>
      <c r="K199">
        <v>34154</v>
      </c>
      <c r="L199">
        <v>1819</v>
      </c>
      <c r="M199">
        <v>128722.05</v>
      </c>
      <c r="N199" s="1" t="s">
        <v>390</v>
      </c>
      <c r="O199">
        <v>6</v>
      </c>
      <c r="P199" s="8">
        <v>2.7190012443049E-2</v>
      </c>
      <c r="Q199" s="8">
        <v>5.3258769104643701E-2</v>
      </c>
      <c r="R199" s="1">
        <v>54.547526113249035</v>
      </c>
      <c r="S199" s="3">
        <v>1.2973142535497439</v>
      </c>
      <c r="T199" s="1">
        <v>29500.100000000006</v>
      </c>
      <c r="U199" s="2">
        <v>45523</v>
      </c>
      <c r="V199" s="10">
        <v>73.17</v>
      </c>
      <c r="W199">
        <v>30</v>
      </c>
      <c r="X199" s="3">
        <v>3.7688718744510159</v>
      </c>
      <c r="Y199" s="7">
        <v>1.8332637082822904E-2</v>
      </c>
      <c r="Z199">
        <v>0.77082325833064302</v>
      </c>
      <c r="AA199"/>
      <c r="AB199"/>
    </row>
    <row r="200" spans="1:28" x14ac:dyDescent="0.3">
      <c r="A200" s="1" t="s">
        <v>215</v>
      </c>
      <c r="B200" s="1" t="s">
        <v>368</v>
      </c>
      <c r="C200" s="2">
        <v>45310</v>
      </c>
      <c r="D200" s="2">
        <v>45466</v>
      </c>
      <c r="E200" s="1" t="s">
        <v>376</v>
      </c>
      <c r="F200" s="1" t="s">
        <v>379</v>
      </c>
      <c r="G200" s="1" t="s">
        <v>384</v>
      </c>
      <c r="H200" s="1" t="s">
        <v>388</v>
      </c>
      <c r="I200">
        <v>14421.92</v>
      </c>
      <c r="J200">
        <v>462104</v>
      </c>
      <c r="K200">
        <v>7031</v>
      </c>
      <c r="L200">
        <v>1453</v>
      </c>
      <c r="M200">
        <v>133052.85999999999</v>
      </c>
      <c r="N200" s="1" t="s">
        <v>389</v>
      </c>
      <c r="O200">
        <v>4</v>
      </c>
      <c r="P200" s="8">
        <v>1.5215189654276999E-2</v>
      </c>
      <c r="Q200" s="8">
        <v>0.20665623666619301</v>
      </c>
      <c r="R200" s="1">
        <v>9.9256159669648998</v>
      </c>
      <c r="S200" s="3">
        <v>9.225738320556486</v>
      </c>
      <c r="T200" s="1">
        <v>118630.93999999999</v>
      </c>
      <c r="U200" s="2">
        <v>45466</v>
      </c>
      <c r="V200" s="10">
        <v>67.930000000000007</v>
      </c>
      <c r="W200">
        <v>156</v>
      </c>
      <c r="X200" s="3">
        <v>18.923746266533918</v>
      </c>
      <c r="Y200" s="7">
        <v>0.1007494147797242</v>
      </c>
      <c r="Z200">
        <v>0.10839240885164</v>
      </c>
      <c r="AA200"/>
      <c r="AB200"/>
    </row>
    <row r="201" spans="1:28" x14ac:dyDescent="0.3">
      <c r="A201" s="1" t="s">
        <v>216</v>
      </c>
      <c r="B201" s="1" t="s">
        <v>367</v>
      </c>
      <c r="C201" s="2">
        <v>45330</v>
      </c>
      <c r="D201" s="2">
        <v>45546</v>
      </c>
      <c r="E201" s="1" t="s">
        <v>374</v>
      </c>
      <c r="F201" s="1" t="s">
        <v>379</v>
      </c>
      <c r="G201" s="1" t="s">
        <v>384</v>
      </c>
      <c r="H201" s="1" t="s">
        <v>387</v>
      </c>
      <c r="I201">
        <v>43141.96</v>
      </c>
      <c r="J201">
        <v>1666596</v>
      </c>
      <c r="K201">
        <v>28997</v>
      </c>
      <c r="L201">
        <v>1729</v>
      </c>
      <c r="M201">
        <v>125571.84</v>
      </c>
      <c r="N201" s="1" t="s">
        <v>391</v>
      </c>
      <c r="O201">
        <v>8</v>
      </c>
      <c r="P201" s="8">
        <v>1.7398937714959099E-2</v>
      </c>
      <c r="Q201" s="8">
        <v>5.9626857950822502E-2</v>
      </c>
      <c r="R201" s="1">
        <v>24.951972238288029</v>
      </c>
      <c r="S201" s="3">
        <v>2.910666089347818</v>
      </c>
      <c r="T201" s="1">
        <v>82429.88</v>
      </c>
      <c r="U201" s="2">
        <v>45546</v>
      </c>
      <c r="V201" s="10">
        <v>47.26</v>
      </c>
      <c r="W201">
        <v>216</v>
      </c>
      <c r="X201" s="3">
        <v>4.3305114322171256</v>
      </c>
      <c r="Y201" s="7">
        <v>4.007699232950937E-2</v>
      </c>
      <c r="Z201">
        <v>0.343563971030448</v>
      </c>
      <c r="AA201"/>
      <c r="AB201"/>
    </row>
    <row r="202" spans="1:28" x14ac:dyDescent="0.3">
      <c r="A202" s="1" t="s">
        <v>217</v>
      </c>
      <c r="B202" s="1" t="s">
        <v>370</v>
      </c>
      <c r="C202" s="2">
        <v>45417</v>
      </c>
      <c r="D202" s="2">
        <v>45425</v>
      </c>
      <c r="E202" s="1" t="s">
        <v>372</v>
      </c>
      <c r="F202" s="1" t="s">
        <v>380</v>
      </c>
      <c r="G202" s="1" t="s">
        <v>384</v>
      </c>
      <c r="H202" s="1" t="s">
        <v>388</v>
      </c>
      <c r="I202">
        <v>81006.740000000005</v>
      </c>
      <c r="J202">
        <v>1835559</v>
      </c>
      <c r="K202">
        <v>7439</v>
      </c>
      <c r="L202">
        <v>1431</v>
      </c>
      <c r="M202">
        <v>162506.47</v>
      </c>
      <c r="N202" s="1" t="s">
        <v>390</v>
      </c>
      <c r="O202">
        <v>6</v>
      </c>
      <c r="P202" s="8">
        <v>4.0527163659680801E-3</v>
      </c>
      <c r="Q202" s="8">
        <v>0.192364565129722</v>
      </c>
      <c r="R202" s="1">
        <v>56.608483577917546</v>
      </c>
      <c r="S202" s="3">
        <v>2.0060857898984699</v>
      </c>
      <c r="T202" s="1">
        <v>81499.73</v>
      </c>
      <c r="U202" s="2">
        <v>45425</v>
      </c>
      <c r="V202" s="10">
        <v>62.99</v>
      </c>
      <c r="W202">
        <v>8</v>
      </c>
      <c r="X202" s="3">
        <v>21.845203656405431</v>
      </c>
      <c r="Y202" s="7">
        <v>1.7665196747826167E-2</v>
      </c>
      <c r="Z202">
        <v>0.49848316808555398</v>
      </c>
      <c r="AA202"/>
      <c r="AB202"/>
    </row>
    <row r="203" spans="1:28" x14ac:dyDescent="0.3">
      <c r="A203" s="1" t="s">
        <v>218</v>
      </c>
      <c r="B203" s="1" t="s">
        <v>369</v>
      </c>
      <c r="C203" s="2">
        <v>45464</v>
      </c>
      <c r="D203" s="2">
        <v>45425</v>
      </c>
      <c r="E203" s="1" t="s">
        <v>376</v>
      </c>
      <c r="F203" s="1" t="s">
        <v>380</v>
      </c>
      <c r="G203" s="1" t="s">
        <v>384</v>
      </c>
      <c r="H203" s="1" t="s">
        <v>388</v>
      </c>
      <c r="I203">
        <v>24383.39</v>
      </c>
      <c r="J203">
        <v>358449</v>
      </c>
      <c r="K203">
        <v>23785</v>
      </c>
      <c r="L203">
        <v>1261</v>
      </c>
      <c r="M203">
        <v>31773.21</v>
      </c>
      <c r="N203" s="1" t="s">
        <v>391</v>
      </c>
      <c r="O203">
        <v>5</v>
      </c>
      <c r="P203" s="8">
        <v>6.6355325304297094E-2</v>
      </c>
      <c r="Q203" s="8">
        <v>5.3016607105318497E-2</v>
      </c>
      <c r="R203" s="1">
        <v>19.336550356859636</v>
      </c>
      <c r="S203" s="3">
        <v>1.3030677850782848</v>
      </c>
      <c r="T203" s="1">
        <v>7389.82</v>
      </c>
      <c r="U203" s="2">
        <v>45494</v>
      </c>
      <c r="V203" s="10">
        <v>63.37</v>
      </c>
      <c r="W203">
        <v>30</v>
      </c>
      <c r="X203" s="3">
        <v>1.3358507462686566</v>
      </c>
      <c r="Y203" s="7">
        <v>5.1715532581810816E-2</v>
      </c>
      <c r="Z203">
        <v>0.767419785410413</v>
      </c>
      <c r="AA203"/>
      <c r="AB203"/>
    </row>
    <row r="204" spans="1:28" x14ac:dyDescent="0.3">
      <c r="A204" s="1" t="s">
        <v>219</v>
      </c>
      <c r="B204" s="1" t="s">
        <v>371</v>
      </c>
      <c r="C204" s="2">
        <v>45432</v>
      </c>
      <c r="D204" s="2">
        <v>45360</v>
      </c>
      <c r="E204" s="1" t="s">
        <v>376</v>
      </c>
      <c r="F204" s="1" t="s">
        <v>380</v>
      </c>
      <c r="G204" s="1" t="s">
        <v>382</v>
      </c>
      <c r="H204" s="1" t="s">
        <v>387</v>
      </c>
      <c r="I204">
        <v>57733.07</v>
      </c>
      <c r="J204">
        <v>1799973</v>
      </c>
      <c r="K204">
        <v>14392</v>
      </c>
      <c r="L204">
        <v>371</v>
      </c>
      <c r="M204">
        <v>17828.310000000001</v>
      </c>
      <c r="N204" s="1" t="s">
        <v>389</v>
      </c>
      <c r="O204">
        <v>9</v>
      </c>
      <c r="P204" s="8">
        <v>7.9956754906879198E-3</v>
      </c>
      <c r="Q204" s="8">
        <v>2.5778210116731499E-2</v>
      </c>
      <c r="R204" s="1">
        <v>155.61474393530997</v>
      </c>
      <c r="S204" s="3">
        <v>0.30880585425303042</v>
      </c>
      <c r="T204" s="1">
        <v>-39904.759999999995</v>
      </c>
      <c r="U204" s="2">
        <v>45462</v>
      </c>
      <c r="V204" s="10">
        <v>65.84</v>
      </c>
      <c r="W204">
        <v>30</v>
      </c>
      <c r="X204" s="3">
        <v>1.2387652862701501</v>
      </c>
      <c r="Y204" s="7">
        <v>6.4261263085437859E-3</v>
      </c>
      <c r="Z204">
        <v>3.2382805773514098</v>
      </c>
      <c r="AA204"/>
      <c r="AB204"/>
    </row>
    <row r="205" spans="1:28" x14ac:dyDescent="0.3">
      <c r="A205" s="1" t="s">
        <v>220</v>
      </c>
      <c r="B205" s="1" t="s">
        <v>371</v>
      </c>
      <c r="C205" s="2">
        <v>45533</v>
      </c>
      <c r="D205" s="2">
        <v>45519</v>
      </c>
      <c r="E205" s="1" t="s">
        <v>374</v>
      </c>
      <c r="F205" s="1" t="s">
        <v>379</v>
      </c>
      <c r="G205" s="1" t="s">
        <v>385</v>
      </c>
      <c r="H205" s="1" t="s">
        <v>387</v>
      </c>
      <c r="I205">
        <v>74641.77</v>
      </c>
      <c r="J205">
        <v>583634</v>
      </c>
      <c r="K205">
        <v>29669</v>
      </c>
      <c r="L205">
        <v>499</v>
      </c>
      <c r="M205">
        <v>23848.7</v>
      </c>
      <c r="N205" s="1" t="s">
        <v>390</v>
      </c>
      <c r="O205">
        <v>9</v>
      </c>
      <c r="P205" s="8">
        <v>5.0834941076085403E-2</v>
      </c>
      <c r="Q205" s="8">
        <v>1.6818901884121499E-2</v>
      </c>
      <c r="R205" s="1">
        <v>149.58270541082166</v>
      </c>
      <c r="S205" s="3">
        <v>0.31950876834780312</v>
      </c>
      <c r="T205" s="1">
        <v>-50793.070000000007</v>
      </c>
      <c r="U205" s="2">
        <v>45563</v>
      </c>
      <c r="V205" s="10">
        <v>18.39</v>
      </c>
      <c r="W205">
        <v>30</v>
      </c>
      <c r="X205" s="3">
        <v>0.80382554181131827</v>
      </c>
      <c r="Y205" s="7">
        <v>6.685264832278227E-3</v>
      </c>
      <c r="Z205">
        <v>3.12980455957767</v>
      </c>
      <c r="AA205"/>
      <c r="AB205"/>
    </row>
    <row r="206" spans="1:28" x14ac:dyDescent="0.3">
      <c r="A206" s="1" t="s">
        <v>221</v>
      </c>
      <c r="B206" s="1" t="s">
        <v>367</v>
      </c>
      <c r="C206" s="2">
        <v>45511</v>
      </c>
      <c r="D206" s="2">
        <v>45455</v>
      </c>
      <c r="E206" s="1" t="s">
        <v>376</v>
      </c>
      <c r="F206" s="1" t="s">
        <v>379</v>
      </c>
      <c r="G206" s="1" t="s">
        <v>385</v>
      </c>
      <c r="H206" s="1" t="s">
        <v>386</v>
      </c>
      <c r="I206">
        <v>63518.62</v>
      </c>
      <c r="J206">
        <v>1885595</v>
      </c>
      <c r="K206">
        <v>29939</v>
      </c>
      <c r="L206">
        <v>1547</v>
      </c>
      <c r="M206">
        <v>116647.67999999999</v>
      </c>
      <c r="N206" s="1" t="s">
        <v>391</v>
      </c>
      <c r="O206">
        <v>7</v>
      </c>
      <c r="P206" s="8">
        <v>1.5877746812014201E-2</v>
      </c>
      <c r="Q206" s="8">
        <v>5.1671732522796401E-2</v>
      </c>
      <c r="R206" s="1">
        <v>41.05922430510666</v>
      </c>
      <c r="S206" s="3">
        <v>1.83643284441633</v>
      </c>
      <c r="T206" s="1">
        <v>53129.05999999999</v>
      </c>
      <c r="U206" s="2">
        <v>45541</v>
      </c>
      <c r="V206" s="10">
        <v>65.709999999999994</v>
      </c>
      <c r="W206">
        <v>30</v>
      </c>
      <c r="X206" s="3">
        <v>3.8961782290657667</v>
      </c>
      <c r="Y206" s="7">
        <v>2.435506312952013E-2</v>
      </c>
      <c r="Z206">
        <v>0.54453393329383004</v>
      </c>
      <c r="AA206"/>
      <c r="AB206"/>
    </row>
    <row r="207" spans="1:28" x14ac:dyDescent="0.3">
      <c r="A207" s="1" t="s">
        <v>222</v>
      </c>
      <c r="B207" s="1" t="s">
        <v>369</v>
      </c>
      <c r="C207" s="2">
        <v>45417</v>
      </c>
      <c r="D207" s="2">
        <v>45388</v>
      </c>
      <c r="E207" s="1" t="s">
        <v>372</v>
      </c>
      <c r="F207" s="1" t="s">
        <v>380</v>
      </c>
      <c r="G207" s="1" t="s">
        <v>385</v>
      </c>
      <c r="H207" s="1" t="s">
        <v>387</v>
      </c>
      <c r="I207">
        <v>22862.35</v>
      </c>
      <c r="J207">
        <v>1111339</v>
      </c>
      <c r="K207">
        <v>3282</v>
      </c>
      <c r="L207">
        <v>1086</v>
      </c>
      <c r="M207">
        <v>76131.509999999995</v>
      </c>
      <c r="N207" s="1" t="s">
        <v>390</v>
      </c>
      <c r="O207">
        <v>5</v>
      </c>
      <c r="P207" s="8">
        <v>2.9531942998491001E-3</v>
      </c>
      <c r="Q207" s="8">
        <v>0.33089579524680102</v>
      </c>
      <c r="R207" s="1">
        <v>21.051887661141805</v>
      </c>
      <c r="S207" s="3">
        <v>3.3299949480259028</v>
      </c>
      <c r="T207" s="1">
        <v>53269.159999999996</v>
      </c>
      <c r="U207" s="2">
        <v>45447</v>
      </c>
      <c r="V207" s="10">
        <v>52.48</v>
      </c>
      <c r="W207">
        <v>30</v>
      </c>
      <c r="X207" s="3">
        <v>23.196681901279707</v>
      </c>
      <c r="Y207" s="7">
        <v>4.7501678523861286E-2</v>
      </c>
      <c r="Z207">
        <v>0.30030075588938099</v>
      </c>
      <c r="AA207"/>
      <c r="AB207"/>
    </row>
    <row r="208" spans="1:28" x14ac:dyDescent="0.3">
      <c r="A208" s="1" t="s">
        <v>223</v>
      </c>
      <c r="B208" s="1" t="s">
        <v>368</v>
      </c>
      <c r="C208" s="2">
        <v>45349</v>
      </c>
      <c r="D208" s="2">
        <v>45500</v>
      </c>
      <c r="E208" s="1" t="s">
        <v>377</v>
      </c>
      <c r="F208" s="1" t="s">
        <v>378</v>
      </c>
      <c r="G208" s="1" t="s">
        <v>385</v>
      </c>
      <c r="H208" s="1" t="s">
        <v>386</v>
      </c>
      <c r="I208">
        <v>38761.53</v>
      </c>
      <c r="J208">
        <v>240237</v>
      </c>
      <c r="K208">
        <v>35624</v>
      </c>
      <c r="L208">
        <v>233</v>
      </c>
      <c r="M208">
        <v>159289.49</v>
      </c>
      <c r="N208" s="1" t="s">
        <v>390</v>
      </c>
      <c r="O208">
        <v>7</v>
      </c>
      <c r="P208" s="8">
        <v>0.14828690001956399</v>
      </c>
      <c r="Q208" s="8">
        <v>6.5405344711430497E-3</v>
      </c>
      <c r="R208" s="1">
        <v>166.35849785407726</v>
      </c>
      <c r="S208" s="3">
        <v>4.1094737488432473</v>
      </c>
      <c r="T208" s="1">
        <v>120527.95999999999</v>
      </c>
      <c r="U208" s="2">
        <v>45500</v>
      </c>
      <c r="V208" s="10">
        <v>13.64</v>
      </c>
      <c r="W208">
        <v>151</v>
      </c>
      <c r="X208" s="3">
        <v>4.4714094430720861</v>
      </c>
      <c r="Y208" s="7">
        <v>6.0111146283441342E-3</v>
      </c>
      <c r="Z208">
        <v>0.243340160107236</v>
      </c>
      <c r="AA208"/>
      <c r="AB208"/>
    </row>
    <row r="209" spans="1:28" x14ac:dyDescent="0.3">
      <c r="A209" s="1" t="s">
        <v>224</v>
      </c>
      <c r="B209" s="1" t="s">
        <v>369</v>
      </c>
      <c r="C209" s="2">
        <v>45439</v>
      </c>
      <c r="D209" s="2">
        <v>45363</v>
      </c>
      <c r="E209" s="1" t="s">
        <v>376</v>
      </c>
      <c r="F209" s="1" t="s">
        <v>378</v>
      </c>
      <c r="G209" s="1" t="s">
        <v>383</v>
      </c>
      <c r="H209" s="1" t="s">
        <v>386</v>
      </c>
      <c r="I209">
        <v>79460.22</v>
      </c>
      <c r="J209">
        <v>1861417</v>
      </c>
      <c r="K209">
        <v>49438</v>
      </c>
      <c r="L209">
        <v>160</v>
      </c>
      <c r="M209">
        <v>248186.15</v>
      </c>
      <c r="N209" s="1" t="s">
        <v>389</v>
      </c>
      <c r="O209">
        <v>6</v>
      </c>
      <c r="P209" s="8">
        <v>2.6559336247600599E-2</v>
      </c>
      <c r="Q209" s="8">
        <v>3.2363768760872201E-3</v>
      </c>
      <c r="R209" s="1">
        <v>496.626375</v>
      </c>
      <c r="S209" s="3">
        <v>3.1234012440438748</v>
      </c>
      <c r="T209" s="1">
        <v>168725.93</v>
      </c>
      <c r="U209" s="2">
        <v>45469</v>
      </c>
      <c r="V209" s="10">
        <v>22.92</v>
      </c>
      <c r="W209">
        <v>30</v>
      </c>
      <c r="X209" s="3">
        <v>5.0201494801569639</v>
      </c>
      <c r="Y209" s="7">
        <v>2.0135861692806788E-3</v>
      </c>
      <c r="Z209">
        <v>0.32016379640846199</v>
      </c>
      <c r="AA209"/>
      <c r="AB209"/>
    </row>
    <row r="210" spans="1:28" x14ac:dyDescent="0.3">
      <c r="A210" s="1" t="s">
        <v>225</v>
      </c>
      <c r="B210" s="1" t="s">
        <v>367</v>
      </c>
      <c r="C210" s="2">
        <v>45292</v>
      </c>
      <c r="D210" s="2">
        <v>45336</v>
      </c>
      <c r="E210" s="1" t="s">
        <v>377</v>
      </c>
      <c r="F210" s="1" t="s">
        <v>381</v>
      </c>
      <c r="G210" s="1" t="s">
        <v>385</v>
      </c>
      <c r="H210" s="1" t="s">
        <v>386</v>
      </c>
      <c r="I210">
        <v>57651.519999999997</v>
      </c>
      <c r="J210">
        <v>906047</v>
      </c>
      <c r="K210">
        <v>25364</v>
      </c>
      <c r="L210">
        <v>557</v>
      </c>
      <c r="M210">
        <v>102717.56</v>
      </c>
      <c r="N210" s="1" t="s">
        <v>391</v>
      </c>
      <c r="O210">
        <v>4</v>
      </c>
      <c r="P210" s="8">
        <v>2.79941327547026E-2</v>
      </c>
      <c r="Q210" s="8">
        <v>2.1960258634284802E-2</v>
      </c>
      <c r="R210" s="1">
        <v>103.50362657091561</v>
      </c>
      <c r="S210" s="3">
        <v>1.7816973429321552</v>
      </c>
      <c r="T210" s="1">
        <v>45066.04</v>
      </c>
      <c r="U210" s="2">
        <v>45336</v>
      </c>
      <c r="V210" s="10">
        <v>42.84</v>
      </c>
      <c r="W210">
        <v>44</v>
      </c>
      <c r="X210" s="3">
        <v>4.0497382116385428</v>
      </c>
      <c r="Y210" s="7">
        <v>9.6614972163786839E-3</v>
      </c>
      <c r="Z210">
        <v>0.56126255335504505</v>
      </c>
      <c r="AA210"/>
      <c r="AB210"/>
    </row>
    <row r="211" spans="1:28" x14ac:dyDescent="0.3">
      <c r="A211" s="1" t="s">
        <v>226</v>
      </c>
      <c r="B211" s="1" t="s">
        <v>367</v>
      </c>
      <c r="C211" s="2">
        <v>45481</v>
      </c>
      <c r="D211" s="2">
        <v>45432</v>
      </c>
      <c r="E211" s="1" t="s">
        <v>372</v>
      </c>
      <c r="F211" s="1" t="s">
        <v>380</v>
      </c>
      <c r="G211" s="1" t="s">
        <v>383</v>
      </c>
      <c r="H211" s="1" t="s">
        <v>387</v>
      </c>
      <c r="I211">
        <v>5496.81</v>
      </c>
      <c r="J211">
        <v>479332</v>
      </c>
      <c r="K211">
        <v>2998</v>
      </c>
      <c r="L211">
        <v>1363</v>
      </c>
      <c r="M211">
        <v>147721.9</v>
      </c>
      <c r="N211" s="1" t="s">
        <v>390</v>
      </c>
      <c r="O211">
        <v>5</v>
      </c>
      <c r="P211" s="8">
        <v>6.2545375647776501E-3</v>
      </c>
      <c r="Q211" s="8">
        <v>0.454636424282855</v>
      </c>
      <c r="R211" s="1">
        <v>4.0328760088041085</v>
      </c>
      <c r="S211" s="3">
        <v>26.874114258997487</v>
      </c>
      <c r="T211" s="1">
        <v>142225.09</v>
      </c>
      <c r="U211" s="2">
        <v>45511</v>
      </c>
      <c r="V211" s="10">
        <v>23.77</v>
      </c>
      <c r="W211">
        <v>30</v>
      </c>
      <c r="X211" s="3">
        <v>49.273482321547696</v>
      </c>
      <c r="Y211" s="7">
        <v>0.24796199977805308</v>
      </c>
      <c r="Z211">
        <v>3.7210528702920798E-2</v>
      </c>
      <c r="AA211"/>
      <c r="AB211"/>
    </row>
    <row r="212" spans="1:28" x14ac:dyDescent="0.3">
      <c r="A212" s="1" t="s">
        <v>227</v>
      </c>
      <c r="B212" s="1" t="s">
        <v>369</v>
      </c>
      <c r="C212" s="2">
        <v>45482</v>
      </c>
      <c r="D212" s="2">
        <v>45478</v>
      </c>
      <c r="E212" s="1" t="s">
        <v>374</v>
      </c>
      <c r="F212" s="1" t="s">
        <v>381</v>
      </c>
      <c r="G212" s="1" t="s">
        <v>383</v>
      </c>
      <c r="H212" s="1" t="s">
        <v>388</v>
      </c>
      <c r="I212">
        <v>77294.12</v>
      </c>
      <c r="J212">
        <v>695275</v>
      </c>
      <c r="K212">
        <v>32705</v>
      </c>
      <c r="L212">
        <v>344</v>
      </c>
      <c r="M212">
        <v>109744.94</v>
      </c>
      <c r="N212" s="1" t="s">
        <v>390</v>
      </c>
      <c r="O212">
        <v>5</v>
      </c>
      <c r="P212" s="8">
        <v>4.7038941426054401E-2</v>
      </c>
      <c r="Q212" s="8">
        <v>1.0518269377771E-2</v>
      </c>
      <c r="R212" s="1">
        <v>224.69220930232558</v>
      </c>
      <c r="S212" s="3">
        <v>1.4198355579958735</v>
      </c>
      <c r="T212" s="1">
        <v>32450.820000000007</v>
      </c>
      <c r="U212" s="2">
        <v>45512</v>
      </c>
      <c r="V212" s="10">
        <v>68.680000000000007</v>
      </c>
      <c r="W212">
        <v>30</v>
      </c>
      <c r="X212" s="3">
        <v>3.355601284207308</v>
      </c>
      <c r="Y212" s="7">
        <v>4.4505325890248837E-3</v>
      </c>
      <c r="Z212">
        <v>0.70430691383128896</v>
      </c>
      <c r="AA212"/>
      <c r="AB212"/>
    </row>
    <row r="213" spans="1:28" x14ac:dyDescent="0.3">
      <c r="A213" s="1" t="s">
        <v>228</v>
      </c>
      <c r="B213" s="1" t="s">
        <v>367</v>
      </c>
      <c r="C213" s="2">
        <v>45408</v>
      </c>
      <c r="D213" s="2">
        <v>45610</v>
      </c>
      <c r="E213" s="1" t="s">
        <v>373</v>
      </c>
      <c r="F213" s="1" t="s">
        <v>378</v>
      </c>
      <c r="G213" s="1" t="s">
        <v>384</v>
      </c>
      <c r="H213" s="1" t="s">
        <v>386</v>
      </c>
      <c r="I213">
        <v>8354.58</v>
      </c>
      <c r="J213">
        <v>1315399</v>
      </c>
      <c r="K213">
        <v>39244</v>
      </c>
      <c r="L213">
        <v>1524</v>
      </c>
      <c r="M213">
        <v>213345.2</v>
      </c>
      <c r="N213" s="1" t="s">
        <v>391</v>
      </c>
      <c r="O213">
        <v>5</v>
      </c>
      <c r="P213" s="8">
        <v>2.9834293624976201E-2</v>
      </c>
      <c r="Q213" s="8">
        <v>3.8833961879523003E-2</v>
      </c>
      <c r="R213" s="1">
        <v>5.4820078740157481</v>
      </c>
      <c r="S213" s="3">
        <v>25.536316607178339</v>
      </c>
      <c r="T213" s="1">
        <v>204990.62000000002</v>
      </c>
      <c r="U213" s="2">
        <v>45610</v>
      </c>
      <c r="V213" s="10">
        <v>29.71</v>
      </c>
      <c r="W213">
        <v>202</v>
      </c>
      <c r="X213" s="3">
        <v>5.4363775354194273</v>
      </c>
      <c r="Y213" s="7">
        <v>0.18241491493288711</v>
      </c>
      <c r="Z213">
        <v>3.91599154797014E-2</v>
      </c>
      <c r="AA213"/>
      <c r="AB213"/>
    </row>
    <row r="214" spans="1:28" x14ac:dyDescent="0.3">
      <c r="A214" s="1" t="s">
        <v>229</v>
      </c>
      <c r="B214" s="1" t="s">
        <v>369</v>
      </c>
      <c r="C214" s="2">
        <v>45425</v>
      </c>
      <c r="D214" s="2">
        <v>45552</v>
      </c>
      <c r="E214" s="1" t="s">
        <v>376</v>
      </c>
      <c r="F214" s="1" t="s">
        <v>381</v>
      </c>
      <c r="G214" s="1" t="s">
        <v>383</v>
      </c>
      <c r="H214" s="1" t="s">
        <v>388</v>
      </c>
      <c r="I214">
        <v>75844.710000000006</v>
      </c>
      <c r="J214">
        <v>1189929</v>
      </c>
      <c r="K214">
        <v>10428</v>
      </c>
      <c r="L214">
        <v>953</v>
      </c>
      <c r="M214">
        <v>226536.74</v>
      </c>
      <c r="N214" s="1" t="s">
        <v>390</v>
      </c>
      <c r="O214">
        <v>7</v>
      </c>
      <c r="P214" s="8">
        <v>8.7635480772382205E-3</v>
      </c>
      <c r="Q214" s="8">
        <v>9.1388569236670505E-2</v>
      </c>
      <c r="R214" s="1">
        <v>79.585215110178396</v>
      </c>
      <c r="S214" s="3">
        <v>2.9868495772480372</v>
      </c>
      <c r="T214" s="1">
        <v>150692.02999999997</v>
      </c>
      <c r="U214" s="2">
        <v>45552</v>
      </c>
      <c r="V214" s="10">
        <v>22.55</v>
      </c>
      <c r="W214">
        <v>127</v>
      </c>
      <c r="X214" s="3">
        <v>21.723891446106634</v>
      </c>
      <c r="Y214" s="7">
        <v>1.2565147918688065E-2</v>
      </c>
      <c r="Z214">
        <v>0.33480092456526001</v>
      </c>
      <c r="AA214"/>
      <c r="AB214"/>
    </row>
    <row r="215" spans="1:28" x14ac:dyDescent="0.3">
      <c r="A215" s="1" t="s">
        <v>230</v>
      </c>
      <c r="B215" s="1" t="s">
        <v>370</v>
      </c>
      <c r="C215" s="2">
        <v>45349</v>
      </c>
      <c r="D215" s="2">
        <v>45478</v>
      </c>
      <c r="E215" s="1" t="s">
        <v>373</v>
      </c>
      <c r="F215" s="1" t="s">
        <v>380</v>
      </c>
      <c r="G215" s="1" t="s">
        <v>382</v>
      </c>
      <c r="H215" s="1" t="s">
        <v>388</v>
      </c>
      <c r="I215">
        <v>24235.65</v>
      </c>
      <c r="J215">
        <v>271373</v>
      </c>
      <c r="K215">
        <v>38437</v>
      </c>
      <c r="L215">
        <v>1288</v>
      </c>
      <c r="M215">
        <v>220565.35</v>
      </c>
      <c r="N215" s="1" t="s">
        <v>390</v>
      </c>
      <c r="O215">
        <v>6</v>
      </c>
      <c r="P215" s="8">
        <v>0.14163899872131699</v>
      </c>
      <c r="Q215" s="8">
        <v>3.35093789837917E-2</v>
      </c>
      <c r="R215" s="1">
        <v>18.816498447204971</v>
      </c>
      <c r="S215" s="3">
        <v>9.100863810130944</v>
      </c>
      <c r="T215" s="1">
        <v>196329.7</v>
      </c>
      <c r="U215" s="2">
        <v>45478</v>
      </c>
      <c r="V215" s="10">
        <v>45.09</v>
      </c>
      <c r="W215">
        <v>129</v>
      </c>
      <c r="X215" s="3">
        <v>5.7383601737908787</v>
      </c>
      <c r="Y215" s="7">
        <v>5.3144850664207474E-2</v>
      </c>
      <c r="Z215">
        <v>0.109879679650498</v>
      </c>
      <c r="AA215"/>
      <c r="AB215"/>
    </row>
    <row r="216" spans="1:28" x14ac:dyDescent="0.3">
      <c r="A216" s="1" t="s">
        <v>231</v>
      </c>
      <c r="B216" s="1" t="s">
        <v>369</v>
      </c>
      <c r="C216" s="2">
        <v>45335</v>
      </c>
      <c r="D216" s="2">
        <v>45359</v>
      </c>
      <c r="E216" s="1" t="s">
        <v>372</v>
      </c>
      <c r="F216" s="1" t="s">
        <v>380</v>
      </c>
      <c r="G216" s="1" t="s">
        <v>383</v>
      </c>
      <c r="H216" s="1" t="s">
        <v>387</v>
      </c>
      <c r="I216">
        <v>96016.98</v>
      </c>
      <c r="J216">
        <v>1456368</v>
      </c>
      <c r="K216">
        <v>13336</v>
      </c>
      <c r="L216">
        <v>1023</v>
      </c>
      <c r="M216">
        <v>243849.34</v>
      </c>
      <c r="N216" s="1" t="s">
        <v>390</v>
      </c>
      <c r="O216">
        <v>5</v>
      </c>
      <c r="P216" s="8">
        <v>9.1570262461136195E-3</v>
      </c>
      <c r="Q216" s="8">
        <v>7.6709658068386297E-2</v>
      </c>
      <c r="R216" s="1">
        <v>93.858240469208212</v>
      </c>
      <c r="S216" s="3">
        <v>2.5396480914104984</v>
      </c>
      <c r="T216" s="1">
        <v>147832.35999999999</v>
      </c>
      <c r="U216" s="2">
        <v>45359</v>
      </c>
      <c r="V216" s="10">
        <v>24.74</v>
      </c>
      <c r="W216">
        <v>24</v>
      </c>
      <c r="X216" s="3">
        <v>18.285043491301739</v>
      </c>
      <c r="Y216" s="7">
        <v>1.0654365509100578E-2</v>
      </c>
      <c r="Z216">
        <v>0.393755340900246</v>
      </c>
      <c r="AA216"/>
      <c r="AB216"/>
    </row>
    <row r="217" spans="1:28" x14ac:dyDescent="0.3">
      <c r="A217" s="1" t="s">
        <v>232</v>
      </c>
      <c r="B217" s="1" t="s">
        <v>369</v>
      </c>
      <c r="C217" s="2">
        <v>45464</v>
      </c>
      <c r="D217" s="2">
        <v>45418</v>
      </c>
      <c r="E217" s="1" t="s">
        <v>376</v>
      </c>
      <c r="F217" s="1" t="s">
        <v>380</v>
      </c>
      <c r="G217" s="1" t="s">
        <v>384</v>
      </c>
      <c r="H217" s="1" t="s">
        <v>388</v>
      </c>
      <c r="I217">
        <v>39954.370000000003</v>
      </c>
      <c r="J217">
        <v>599844</v>
      </c>
      <c r="K217">
        <v>10342</v>
      </c>
      <c r="L217">
        <v>681</v>
      </c>
      <c r="M217">
        <v>16604.599999999999</v>
      </c>
      <c r="N217" s="1" t="s">
        <v>391</v>
      </c>
      <c r="O217">
        <v>5</v>
      </c>
      <c r="P217" s="8">
        <v>1.7241149365501699E-2</v>
      </c>
      <c r="Q217" s="8">
        <v>6.5847998452910506E-2</v>
      </c>
      <c r="R217" s="1">
        <v>58.670146842878125</v>
      </c>
      <c r="S217" s="3">
        <v>0.41558908324671362</v>
      </c>
      <c r="T217" s="1">
        <v>-23349.770000000004</v>
      </c>
      <c r="U217" s="2">
        <v>45494</v>
      </c>
      <c r="V217" s="10">
        <v>30.96</v>
      </c>
      <c r="W217">
        <v>30</v>
      </c>
      <c r="X217" s="3">
        <v>1.6055501837168824</v>
      </c>
      <c r="Y217" s="7">
        <v>1.7044443448864292E-2</v>
      </c>
      <c r="Z217">
        <v>2.4062229743565</v>
      </c>
      <c r="AA217"/>
      <c r="AB217"/>
    </row>
    <row r="218" spans="1:28" x14ac:dyDescent="0.3">
      <c r="A218" s="1" t="s">
        <v>233</v>
      </c>
      <c r="B218" s="1" t="s">
        <v>367</v>
      </c>
      <c r="C218" s="2">
        <v>45451</v>
      </c>
      <c r="D218" s="2">
        <v>45610</v>
      </c>
      <c r="E218" s="1" t="s">
        <v>377</v>
      </c>
      <c r="F218" s="1" t="s">
        <v>379</v>
      </c>
      <c r="G218" s="1" t="s">
        <v>383</v>
      </c>
      <c r="H218" s="1" t="s">
        <v>388</v>
      </c>
      <c r="I218">
        <v>36058.5</v>
      </c>
      <c r="J218">
        <v>895474</v>
      </c>
      <c r="K218">
        <v>40832</v>
      </c>
      <c r="L218">
        <v>1967</v>
      </c>
      <c r="M218">
        <v>211555.88</v>
      </c>
      <c r="N218" s="1" t="s">
        <v>391</v>
      </c>
      <c r="O218">
        <v>9</v>
      </c>
      <c r="P218" s="8">
        <v>4.5598197155919701E-2</v>
      </c>
      <c r="Q218" s="8">
        <v>4.8173001567398101E-2</v>
      </c>
      <c r="R218" s="1">
        <v>18.331723436705644</v>
      </c>
      <c r="S218" s="3">
        <v>5.8670183174563562</v>
      </c>
      <c r="T218" s="1">
        <v>175497.38</v>
      </c>
      <c r="U218" s="2">
        <v>45610</v>
      </c>
      <c r="V218" s="10">
        <v>14.69</v>
      </c>
      <c r="W218">
        <v>159</v>
      </c>
      <c r="X218" s="3">
        <v>5.1811295062695928</v>
      </c>
      <c r="Y218" s="7">
        <v>5.4550244741184466E-2</v>
      </c>
      <c r="Z218">
        <v>0.17044432894042</v>
      </c>
      <c r="AA218"/>
      <c r="AB218"/>
    </row>
    <row r="219" spans="1:28" x14ac:dyDescent="0.3">
      <c r="A219" s="1" t="s">
        <v>234</v>
      </c>
      <c r="B219" s="1" t="s">
        <v>367</v>
      </c>
      <c r="C219" s="2">
        <v>45464</v>
      </c>
      <c r="D219" s="2">
        <v>45575</v>
      </c>
      <c r="E219" s="1" t="s">
        <v>375</v>
      </c>
      <c r="F219" s="1" t="s">
        <v>381</v>
      </c>
      <c r="G219" s="1" t="s">
        <v>382</v>
      </c>
      <c r="H219" s="1" t="s">
        <v>387</v>
      </c>
      <c r="I219">
        <v>19144.36</v>
      </c>
      <c r="J219">
        <v>1640963</v>
      </c>
      <c r="K219">
        <v>8446</v>
      </c>
      <c r="L219">
        <v>1640</v>
      </c>
      <c r="M219">
        <v>190425.32</v>
      </c>
      <c r="N219" s="1" t="s">
        <v>391</v>
      </c>
      <c r="O219">
        <v>4</v>
      </c>
      <c r="P219" s="8">
        <v>5.1469777197901499E-3</v>
      </c>
      <c r="Q219" s="8">
        <v>0.19417475728155301</v>
      </c>
      <c r="R219" s="1">
        <v>11.673390243902439</v>
      </c>
      <c r="S219" s="3">
        <v>9.9468104444337655</v>
      </c>
      <c r="T219" s="1">
        <v>171280.96000000002</v>
      </c>
      <c r="U219" s="2">
        <v>45575</v>
      </c>
      <c r="V219" s="10">
        <v>28.58</v>
      </c>
      <c r="W219">
        <v>111</v>
      </c>
      <c r="X219" s="3">
        <v>22.546213592233009</v>
      </c>
      <c r="Y219" s="7">
        <v>8.5664916455812576E-2</v>
      </c>
      <c r="Z219">
        <v>0.100534739812962</v>
      </c>
      <c r="AA219"/>
      <c r="AB219"/>
    </row>
    <row r="220" spans="1:28" x14ac:dyDescent="0.3">
      <c r="A220" s="1" t="s">
        <v>235</v>
      </c>
      <c r="B220" s="1" t="s">
        <v>371</v>
      </c>
      <c r="C220" s="2">
        <v>45440</v>
      </c>
      <c r="D220" s="2">
        <v>45517</v>
      </c>
      <c r="E220" s="1" t="s">
        <v>373</v>
      </c>
      <c r="F220" s="1" t="s">
        <v>378</v>
      </c>
      <c r="G220" s="1" t="s">
        <v>382</v>
      </c>
      <c r="H220" s="1" t="s">
        <v>386</v>
      </c>
      <c r="I220">
        <v>34032.400000000001</v>
      </c>
      <c r="J220">
        <v>421233</v>
      </c>
      <c r="K220">
        <v>39392</v>
      </c>
      <c r="L220">
        <v>1100</v>
      </c>
      <c r="M220">
        <v>64886.66</v>
      </c>
      <c r="N220" s="1" t="s">
        <v>391</v>
      </c>
      <c r="O220">
        <v>9</v>
      </c>
      <c r="P220" s="8">
        <v>9.3515940109155801E-2</v>
      </c>
      <c r="Q220" s="8">
        <v>2.7924451665312801E-2</v>
      </c>
      <c r="R220" s="1">
        <v>30.938545454545455</v>
      </c>
      <c r="S220" s="3">
        <v>1.9066142852105641</v>
      </c>
      <c r="T220" s="1">
        <v>30854.260000000002</v>
      </c>
      <c r="U220" s="2">
        <v>45517</v>
      </c>
      <c r="V220" s="10">
        <v>16.47</v>
      </c>
      <c r="W220">
        <v>77</v>
      </c>
      <c r="X220" s="3">
        <v>1.6472040008123479</v>
      </c>
      <c r="Y220" s="7">
        <v>3.2322140078278348E-2</v>
      </c>
      <c r="Z220">
        <v>0.52448993367820096</v>
      </c>
      <c r="AA220"/>
      <c r="AB220"/>
    </row>
    <row r="221" spans="1:28" x14ac:dyDescent="0.3">
      <c r="A221" s="1" t="s">
        <v>236</v>
      </c>
      <c r="B221" s="1" t="s">
        <v>371</v>
      </c>
      <c r="C221" s="2">
        <v>45371</v>
      </c>
      <c r="D221" s="2">
        <v>45407</v>
      </c>
      <c r="E221" s="1" t="s">
        <v>376</v>
      </c>
      <c r="F221" s="1" t="s">
        <v>378</v>
      </c>
      <c r="G221" s="1" t="s">
        <v>382</v>
      </c>
      <c r="H221" s="1" t="s">
        <v>388</v>
      </c>
      <c r="I221">
        <v>88281.82</v>
      </c>
      <c r="J221">
        <v>1274744</v>
      </c>
      <c r="K221">
        <v>8461</v>
      </c>
      <c r="L221">
        <v>1703</v>
      </c>
      <c r="M221">
        <v>239516.82</v>
      </c>
      <c r="N221" s="1" t="s">
        <v>389</v>
      </c>
      <c r="O221">
        <v>9</v>
      </c>
      <c r="P221" s="8">
        <v>6.6374111194090696E-3</v>
      </c>
      <c r="Q221" s="8">
        <v>0.201276444864673</v>
      </c>
      <c r="R221" s="1">
        <v>51.839001761597189</v>
      </c>
      <c r="S221" s="3">
        <v>2.7130933639564745</v>
      </c>
      <c r="T221" s="1">
        <v>151235</v>
      </c>
      <c r="U221" s="2">
        <v>45407</v>
      </c>
      <c r="V221" s="10">
        <v>22.26</v>
      </c>
      <c r="W221">
        <v>36</v>
      </c>
      <c r="X221" s="3">
        <v>28.308334712208961</v>
      </c>
      <c r="Y221" s="7">
        <v>1.9290494917300071E-2</v>
      </c>
      <c r="Z221">
        <v>0.36858296632361798</v>
      </c>
      <c r="AA221"/>
      <c r="AB221"/>
    </row>
    <row r="222" spans="1:28" x14ac:dyDescent="0.3">
      <c r="A222" s="1" t="s">
        <v>237</v>
      </c>
      <c r="B222" s="1" t="s">
        <v>370</v>
      </c>
      <c r="C222" s="2">
        <v>45504</v>
      </c>
      <c r="D222" s="2">
        <v>45331</v>
      </c>
      <c r="E222" s="1" t="s">
        <v>373</v>
      </c>
      <c r="F222" s="1" t="s">
        <v>378</v>
      </c>
      <c r="G222" s="1" t="s">
        <v>384</v>
      </c>
      <c r="H222" s="1" t="s">
        <v>387</v>
      </c>
      <c r="I222">
        <v>99651.76</v>
      </c>
      <c r="J222">
        <v>1825922</v>
      </c>
      <c r="K222">
        <v>35587</v>
      </c>
      <c r="L222">
        <v>782</v>
      </c>
      <c r="M222">
        <v>45562.7</v>
      </c>
      <c r="N222" s="1" t="s">
        <v>390</v>
      </c>
      <c r="O222">
        <v>4</v>
      </c>
      <c r="P222" s="8">
        <v>1.9489879633412598E-2</v>
      </c>
      <c r="Q222" s="8">
        <v>2.1974316463877298E-2</v>
      </c>
      <c r="R222" s="1">
        <v>127.43191815856777</v>
      </c>
      <c r="S222" s="3">
        <v>0.45721922021246791</v>
      </c>
      <c r="T222" s="1">
        <v>-54089.06</v>
      </c>
      <c r="U222" s="2">
        <v>45534</v>
      </c>
      <c r="V222" s="10">
        <v>77.3</v>
      </c>
      <c r="W222">
        <v>30</v>
      </c>
      <c r="X222" s="3">
        <v>1.280318655688875</v>
      </c>
      <c r="Y222" s="7">
        <v>7.84732753340232E-3</v>
      </c>
      <c r="Z222">
        <v>2.1871346518094801</v>
      </c>
      <c r="AA222"/>
      <c r="AB222"/>
    </row>
    <row r="223" spans="1:28" x14ac:dyDescent="0.3">
      <c r="A223" s="1" t="s">
        <v>238</v>
      </c>
      <c r="B223" s="1" t="s">
        <v>371</v>
      </c>
      <c r="C223" s="2">
        <v>45494</v>
      </c>
      <c r="D223" s="2">
        <v>45326</v>
      </c>
      <c r="E223" s="1" t="s">
        <v>376</v>
      </c>
      <c r="F223" s="1" t="s">
        <v>379</v>
      </c>
      <c r="G223" s="1" t="s">
        <v>384</v>
      </c>
      <c r="H223" s="1" t="s">
        <v>388</v>
      </c>
      <c r="I223">
        <v>39989.410000000003</v>
      </c>
      <c r="J223">
        <v>718590</v>
      </c>
      <c r="K223">
        <v>11516</v>
      </c>
      <c r="L223">
        <v>1304</v>
      </c>
      <c r="M223">
        <v>173091.98</v>
      </c>
      <c r="N223" s="1" t="s">
        <v>391</v>
      </c>
      <c r="O223">
        <v>6</v>
      </c>
      <c r="P223" s="8">
        <v>1.6025828358312798E-2</v>
      </c>
      <c r="Q223" s="8">
        <v>0.11323376172282</v>
      </c>
      <c r="R223" s="1">
        <v>30.666725460122702</v>
      </c>
      <c r="S223" s="3">
        <v>4.3284454559344585</v>
      </c>
      <c r="T223" s="1">
        <v>133102.57</v>
      </c>
      <c r="U223" s="2">
        <v>45524</v>
      </c>
      <c r="V223" s="10">
        <v>31</v>
      </c>
      <c r="W223">
        <v>30</v>
      </c>
      <c r="X223" s="3">
        <v>15.030564432094478</v>
      </c>
      <c r="Y223" s="7">
        <v>3.260863313562265E-2</v>
      </c>
      <c r="Z223">
        <v>0.23102982587639201</v>
      </c>
      <c r="AA223"/>
      <c r="AB223"/>
    </row>
    <row r="224" spans="1:28" x14ac:dyDescent="0.3">
      <c r="A224" s="1" t="s">
        <v>239</v>
      </c>
      <c r="B224" s="1" t="s">
        <v>369</v>
      </c>
      <c r="C224" s="2">
        <v>45543</v>
      </c>
      <c r="D224" s="2">
        <v>45444</v>
      </c>
      <c r="E224" s="1" t="s">
        <v>374</v>
      </c>
      <c r="F224" s="1" t="s">
        <v>379</v>
      </c>
      <c r="G224" s="1" t="s">
        <v>385</v>
      </c>
      <c r="H224" s="1" t="s">
        <v>388</v>
      </c>
      <c r="I224">
        <v>47618.01</v>
      </c>
      <c r="J224">
        <v>1520801</v>
      </c>
      <c r="K224">
        <v>14749</v>
      </c>
      <c r="L224">
        <v>1638</v>
      </c>
      <c r="M224">
        <v>63973.65</v>
      </c>
      <c r="N224" s="1" t="s">
        <v>390</v>
      </c>
      <c r="O224">
        <v>9</v>
      </c>
      <c r="P224" s="8">
        <v>9.6981787886778106E-3</v>
      </c>
      <c r="Q224" s="8">
        <v>0.11105837683910801</v>
      </c>
      <c r="R224" s="1">
        <v>29.070824175824178</v>
      </c>
      <c r="S224" s="3">
        <v>1.3434759243403913</v>
      </c>
      <c r="T224" s="1">
        <v>16355.64</v>
      </c>
      <c r="U224" s="2">
        <v>45573</v>
      </c>
      <c r="V224" s="10">
        <v>58.36</v>
      </c>
      <c r="W224">
        <v>30</v>
      </c>
      <c r="X224" s="3">
        <v>4.3374906773340562</v>
      </c>
      <c r="Y224" s="7">
        <v>3.4398749548752668E-2</v>
      </c>
      <c r="Z224">
        <v>0.74433786410498703</v>
      </c>
      <c r="AA224"/>
      <c r="AB224"/>
    </row>
    <row r="225" spans="1:28" x14ac:dyDescent="0.3">
      <c r="A225" s="1" t="s">
        <v>240</v>
      </c>
      <c r="B225" s="1" t="s">
        <v>367</v>
      </c>
      <c r="C225" s="2">
        <v>45520</v>
      </c>
      <c r="D225" s="2">
        <v>45439</v>
      </c>
      <c r="E225" s="1" t="s">
        <v>377</v>
      </c>
      <c r="F225" s="1" t="s">
        <v>380</v>
      </c>
      <c r="G225" s="1" t="s">
        <v>384</v>
      </c>
      <c r="H225" s="1" t="s">
        <v>386</v>
      </c>
      <c r="I225">
        <v>73596.740000000005</v>
      </c>
      <c r="J225">
        <v>1300617</v>
      </c>
      <c r="K225">
        <v>18514</v>
      </c>
      <c r="L225">
        <v>1880</v>
      </c>
      <c r="M225">
        <v>113531.36</v>
      </c>
      <c r="N225" s="1" t="s">
        <v>390</v>
      </c>
      <c r="O225">
        <v>6</v>
      </c>
      <c r="P225" s="8">
        <v>1.42347824148077E-2</v>
      </c>
      <c r="Q225" s="8">
        <v>0.10154477692557</v>
      </c>
      <c r="R225" s="1">
        <v>39.147202127659575</v>
      </c>
      <c r="S225" s="3">
        <v>1.5426139799126972</v>
      </c>
      <c r="T225" s="1">
        <v>39934.619999999995</v>
      </c>
      <c r="U225" s="2">
        <v>45550</v>
      </c>
      <c r="V225" s="10">
        <v>45.69</v>
      </c>
      <c r="W225">
        <v>30</v>
      </c>
      <c r="X225" s="3">
        <v>6.1321896942854055</v>
      </c>
      <c r="Y225" s="7">
        <v>2.55446097204849E-2</v>
      </c>
      <c r="Z225">
        <v>0.64825031603602701</v>
      </c>
      <c r="AA225"/>
      <c r="AB225"/>
    </row>
    <row r="226" spans="1:28" x14ac:dyDescent="0.3">
      <c r="A226" s="1" t="s">
        <v>241</v>
      </c>
      <c r="B226" s="1" t="s">
        <v>371</v>
      </c>
      <c r="C226" s="2">
        <v>45455</v>
      </c>
      <c r="D226" s="2">
        <v>45615</v>
      </c>
      <c r="E226" s="1" t="s">
        <v>373</v>
      </c>
      <c r="F226" s="1" t="s">
        <v>378</v>
      </c>
      <c r="G226" s="1" t="s">
        <v>382</v>
      </c>
      <c r="H226" s="1" t="s">
        <v>388</v>
      </c>
      <c r="I226">
        <v>89188.6</v>
      </c>
      <c r="J226">
        <v>83866</v>
      </c>
      <c r="K226">
        <v>36426</v>
      </c>
      <c r="L226">
        <v>370</v>
      </c>
      <c r="M226">
        <v>182598.38</v>
      </c>
      <c r="N226" s="1" t="s">
        <v>389</v>
      </c>
      <c r="O226">
        <v>9</v>
      </c>
      <c r="P226" s="8">
        <v>0.43433572603915799</v>
      </c>
      <c r="Q226" s="8">
        <v>1.0157579750727499E-2</v>
      </c>
      <c r="R226" s="1">
        <v>241.05027027027029</v>
      </c>
      <c r="S226" s="3">
        <v>2.0473286944744058</v>
      </c>
      <c r="T226" s="1">
        <v>93409.78</v>
      </c>
      <c r="U226" s="2">
        <v>45615</v>
      </c>
      <c r="V226" s="10">
        <v>56.74</v>
      </c>
      <c r="W226">
        <v>160</v>
      </c>
      <c r="X226" s="3">
        <v>5.0128583978476913</v>
      </c>
      <c r="Y226" s="7">
        <v>4.1485122538082219E-3</v>
      </c>
      <c r="Z226">
        <v>0.488441354189451</v>
      </c>
      <c r="AA226"/>
      <c r="AB226"/>
    </row>
    <row r="227" spans="1:28" x14ac:dyDescent="0.3">
      <c r="A227" s="1" t="s">
        <v>242</v>
      </c>
      <c r="B227" s="1" t="s">
        <v>371</v>
      </c>
      <c r="C227" s="2">
        <v>45518</v>
      </c>
      <c r="D227" s="2">
        <v>45480</v>
      </c>
      <c r="E227" s="1" t="s">
        <v>375</v>
      </c>
      <c r="F227" s="1" t="s">
        <v>379</v>
      </c>
      <c r="G227" s="1" t="s">
        <v>382</v>
      </c>
      <c r="H227" s="1" t="s">
        <v>387</v>
      </c>
      <c r="I227">
        <v>61339.21</v>
      </c>
      <c r="J227">
        <v>1203976</v>
      </c>
      <c r="K227">
        <v>37268</v>
      </c>
      <c r="L227">
        <v>962</v>
      </c>
      <c r="M227">
        <v>145197.91</v>
      </c>
      <c r="N227" s="1" t="s">
        <v>391</v>
      </c>
      <c r="O227">
        <v>8</v>
      </c>
      <c r="P227" s="8">
        <v>3.0954105397449801E-2</v>
      </c>
      <c r="Q227" s="8">
        <v>2.5813029945261402E-2</v>
      </c>
      <c r="R227" s="1">
        <v>63.762172557172555</v>
      </c>
      <c r="S227" s="3">
        <v>2.367130421144974</v>
      </c>
      <c r="T227" s="1">
        <v>83858.700000000012</v>
      </c>
      <c r="U227" s="2">
        <v>45548</v>
      </c>
      <c r="V227" s="10">
        <v>18.78</v>
      </c>
      <c r="W227">
        <v>30</v>
      </c>
      <c r="X227" s="3">
        <v>3.8960478158205434</v>
      </c>
      <c r="Y227" s="7">
        <v>1.5683279911821491E-2</v>
      </c>
      <c r="Z227">
        <v>0.42245243061694199</v>
      </c>
      <c r="AA227"/>
      <c r="AB227"/>
    </row>
    <row r="228" spans="1:28" x14ac:dyDescent="0.3">
      <c r="A228" s="1" t="s">
        <v>243</v>
      </c>
      <c r="B228" s="1" t="s">
        <v>370</v>
      </c>
      <c r="C228" s="2">
        <v>45438</v>
      </c>
      <c r="D228" s="2">
        <v>45549</v>
      </c>
      <c r="E228" s="1" t="s">
        <v>375</v>
      </c>
      <c r="F228" s="1" t="s">
        <v>380</v>
      </c>
      <c r="G228" s="1" t="s">
        <v>384</v>
      </c>
      <c r="H228" s="1" t="s">
        <v>388</v>
      </c>
      <c r="I228">
        <v>42194.94</v>
      </c>
      <c r="J228">
        <v>1969254</v>
      </c>
      <c r="K228">
        <v>25950</v>
      </c>
      <c r="L228">
        <v>1306</v>
      </c>
      <c r="M228">
        <v>112600.44</v>
      </c>
      <c r="N228" s="1" t="s">
        <v>391</v>
      </c>
      <c r="O228">
        <v>4</v>
      </c>
      <c r="P228" s="8">
        <v>1.31775789207487E-2</v>
      </c>
      <c r="Q228" s="8">
        <v>5.0327552986512501E-2</v>
      </c>
      <c r="R228" s="1">
        <v>32.308529862174581</v>
      </c>
      <c r="S228" s="3">
        <v>2.6685768483140393</v>
      </c>
      <c r="T228" s="1">
        <v>70405.5</v>
      </c>
      <c r="U228" s="2">
        <v>45549</v>
      </c>
      <c r="V228" s="10">
        <v>42.76</v>
      </c>
      <c r="W228">
        <v>111</v>
      </c>
      <c r="X228" s="3">
        <v>4.3391306358381501</v>
      </c>
      <c r="Y228" s="7">
        <v>3.0951578554205786E-2</v>
      </c>
      <c r="Z228">
        <v>0.37473157298497201</v>
      </c>
      <c r="AA228"/>
      <c r="AB228"/>
    </row>
    <row r="229" spans="1:28" x14ac:dyDescent="0.3">
      <c r="A229" s="1" t="s">
        <v>244</v>
      </c>
      <c r="B229" s="1" t="s">
        <v>370</v>
      </c>
      <c r="C229" s="2">
        <v>45311</v>
      </c>
      <c r="D229" s="2">
        <v>45537</v>
      </c>
      <c r="E229" s="1" t="s">
        <v>372</v>
      </c>
      <c r="F229" s="1" t="s">
        <v>378</v>
      </c>
      <c r="G229" s="1" t="s">
        <v>383</v>
      </c>
      <c r="H229" s="1" t="s">
        <v>386</v>
      </c>
      <c r="I229">
        <v>44199.07</v>
      </c>
      <c r="J229">
        <v>1437695</v>
      </c>
      <c r="K229">
        <v>35888</v>
      </c>
      <c r="L229">
        <v>1743</v>
      </c>
      <c r="M229">
        <v>88321.22</v>
      </c>
      <c r="N229" s="1" t="s">
        <v>390</v>
      </c>
      <c r="O229">
        <v>9</v>
      </c>
      <c r="P229" s="8">
        <v>2.49621790435384E-2</v>
      </c>
      <c r="Q229" s="8">
        <v>4.8567766384306703E-2</v>
      </c>
      <c r="R229" s="1">
        <v>25.358043602983361</v>
      </c>
      <c r="S229" s="3">
        <v>1.9982596918894449</v>
      </c>
      <c r="T229" s="1">
        <v>44122.15</v>
      </c>
      <c r="U229" s="2">
        <v>45537</v>
      </c>
      <c r="V229" s="10">
        <v>58.37</v>
      </c>
      <c r="W229">
        <v>226</v>
      </c>
      <c r="X229" s="3">
        <v>2.4610237405260813</v>
      </c>
      <c r="Y229" s="7">
        <v>3.9435218885827239E-2</v>
      </c>
      <c r="Z229">
        <v>0.50043545594139205</v>
      </c>
      <c r="AA229"/>
      <c r="AB229"/>
    </row>
    <row r="230" spans="1:28" x14ac:dyDescent="0.3">
      <c r="A230" s="1" t="s">
        <v>245</v>
      </c>
      <c r="B230" s="1" t="s">
        <v>369</v>
      </c>
      <c r="C230" s="2">
        <v>45338</v>
      </c>
      <c r="D230" s="2">
        <v>45505</v>
      </c>
      <c r="E230" s="1" t="s">
        <v>376</v>
      </c>
      <c r="F230" s="1" t="s">
        <v>381</v>
      </c>
      <c r="G230" s="1" t="s">
        <v>384</v>
      </c>
      <c r="H230" s="1" t="s">
        <v>386</v>
      </c>
      <c r="I230">
        <v>71083.72</v>
      </c>
      <c r="J230">
        <v>485071</v>
      </c>
      <c r="K230">
        <v>37788</v>
      </c>
      <c r="L230">
        <v>486</v>
      </c>
      <c r="M230">
        <v>211518.32</v>
      </c>
      <c r="N230" s="1" t="s">
        <v>391</v>
      </c>
      <c r="O230">
        <v>8</v>
      </c>
      <c r="P230" s="8">
        <v>7.7901997851860902E-2</v>
      </c>
      <c r="Q230" s="8">
        <v>1.28612257859638E-2</v>
      </c>
      <c r="R230" s="1">
        <v>146.26279835390946</v>
      </c>
      <c r="S230" s="3">
        <v>2.9756225476100577</v>
      </c>
      <c r="T230" s="1">
        <v>140434.6</v>
      </c>
      <c r="U230" s="2">
        <v>45505</v>
      </c>
      <c r="V230" s="10">
        <v>30.16</v>
      </c>
      <c r="W230">
        <v>167</v>
      </c>
      <c r="X230" s="3">
        <v>5.5974997353657248</v>
      </c>
      <c r="Y230" s="7">
        <v>6.8370085302232354E-3</v>
      </c>
      <c r="Z230">
        <v>0.33606412910238698</v>
      </c>
      <c r="AA230"/>
      <c r="AB230"/>
    </row>
    <row r="231" spans="1:28" x14ac:dyDescent="0.3">
      <c r="A231" s="1" t="s">
        <v>246</v>
      </c>
      <c r="B231" s="1" t="s">
        <v>367</v>
      </c>
      <c r="C231" s="2">
        <v>45524</v>
      </c>
      <c r="D231" s="2">
        <v>45336</v>
      </c>
      <c r="E231" s="1" t="s">
        <v>373</v>
      </c>
      <c r="F231" s="1" t="s">
        <v>380</v>
      </c>
      <c r="G231" s="1" t="s">
        <v>384</v>
      </c>
      <c r="H231" s="1" t="s">
        <v>387</v>
      </c>
      <c r="I231">
        <v>5305.74</v>
      </c>
      <c r="J231">
        <v>1442277</v>
      </c>
      <c r="K231">
        <v>11213</v>
      </c>
      <c r="L231">
        <v>830</v>
      </c>
      <c r="M231">
        <v>44515.44</v>
      </c>
      <c r="N231" s="1" t="s">
        <v>390</v>
      </c>
      <c r="O231">
        <v>7</v>
      </c>
      <c r="P231" s="8">
        <v>7.7745121082843302E-3</v>
      </c>
      <c r="Q231" s="8">
        <v>7.4021225363417403E-2</v>
      </c>
      <c r="R231" s="1">
        <v>6.3924578313253013</v>
      </c>
      <c r="S231" s="3">
        <v>8.3900530368996602</v>
      </c>
      <c r="T231" s="1">
        <v>39209.700000000004</v>
      </c>
      <c r="U231" s="2">
        <v>45554</v>
      </c>
      <c r="V231" s="10">
        <v>12.27</v>
      </c>
      <c r="W231">
        <v>30</v>
      </c>
      <c r="X231" s="3">
        <v>3.9699848390261305</v>
      </c>
      <c r="Y231" s="7">
        <v>0.15643435222984919</v>
      </c>
      <c r="Z231">
        <v>0.11918875787816501</v>
      </c>
      <c r="AA231"/>
      <c r="AB231"/>
    </row>
    <row r="232" spans="1:28" x14ac:dyDescent="0.3">
      <c r="A232" s="1" t="s">
        <v>247</v>
      </c>
      <c r="B232" s="1" t="s">
        <v>370</v>
      </c>
      <c r="C232" s="2">
        <v>45305</v>
      </c>
      <c r="D232" s="2">
        <v>45478</v>
      </c>
      <c r="E232" s="1" t="s">
        <v>372</v>
      </c>
      <c r="F232" s="1" t="s">
        <v>379</v>
      </c>
      <c r="G232" s="1" t="s">
        <v>382</v>
      </c>
      <c r="H232" s="1" t="s">
        <v>386</v>
      </c>
      <c r="I232">
        <v>63860.99</v>
      </c>
      <c r="J232">
        <v>1236064</v>
      </c>
      <c r="K232">
        <v>37027</v>
      </c>
      <c r="L232">
        <v>1606</v>
      </c>
      <c r="M232">
        <v>113224.69</v>
      </c>
      <c r="N232" s="1" t="s">
        <v>390</v>
      </c>
      <c r="O232">
        <v>8</v>
      </c>
      <c r="P232" s="8">
        <v>2.9955568643694801E-2</v>
      </c>
      <c r="Q232" s="8">
        <v>4.33737542874119E-2</v>
      </c>
      <c r="R232" s="1">
        <v>39.764003735990038</v>
      </c>
      <c r="S232" s="3">
        <v>1.7729867639070425</v>
      </c>
      <c r="T232" s="1">
        <v>49363.700000000004</v>
      </c>
      <c r="U232" s="2">
        <v>45478</v>
      </c>
      <c r="V232" s="10">
        <v>61.44</v>
      </c>
      <c r="W232">
        <v>173</v>
      </c>
      <c r="X232" s="3">
        <v>3.0578953196316201</v>
      </c>
      <c r="Y232" s="7">
        <v>2.5148373052155941E-2</v>
      </c>
      <c r="Z232">
        <v>0.564020003057637</v>
      </c>
      <c r="AA232"/>
      <c r="AB232"/>
    </row>
    <row r="233" spans="1:28" x14ac:dyDescent="0.3">
      <c r="A233" s="1" t="s">
        <v>248</v>
      </c>
      <c r="B233" s="1" t="s">
        <v>371</v>
      </c>
      <c r="C233" s="2">
        <v>45434</v>
      </c>
      <c r="D233" s="2">
        <v>45457</v>
      </c>
      <c r="E233" s="1" t="s">
        <v>373</v>
      </c>
      <c r="F233" s="1" t="s">
        <v>379</v>
      </c>
      <c r="G233" s="1" t="s">
        <v>385</v>
      </c>
      <c r="H233" s="1" t="s">
        <v>388</v>
      </c>
      <c r="I233">
        <v>38771.839999999997</v>
      </c>
      <c r="J233">
        <v>646804</v>
      </c>
      <c r="K233">
        <v>29011</v>
      </c>
      <c r="L233">
        <v>1476</v>
      </c>
      <c r="M233">
        <v>226901.82</v>
      </c>
      <c r="N233" s="1" t="s">
        <v>389</v>
      </c>
      <c r="O233">
        <v>5</v>
      </c>
      <c r="P233" s="8">
        <v>4.4852845684318597E-2</v>
      </c>
      <c r="Q233" s="8">
        <v>5.0877253455585802E-2</v>
      </c>
      <c r="R233" s="1">
        <v>26.268184281842817</v>
      </c>
      <c r="S233" s="3">
        <v>5.8522324449910048</v>
      </c>
      <c r="T233" s="1">
        <v>188129.98</v>
      </c>
      <c r="U233" s="2">
        <v>45457</v>
      </c>
      <c r="V233" s="10">
        <v>20.309999999999999</v>
      </c>
      <c r="W233">
        <v>23</v>
      </c>
      <c r="X233" s="3">
        <v>7.8212340146840855</v>
      </c>
      <c r="Y233" s="7">
        <v>3.8068866476287946E-2</v>
      </c>
      <c r="Z233">
        <v>0.170874962571918</v>
      </c>
      <c r="AA233"/>
      <c r="AB233"/>
    </row>
    <row r="234" spans="1:28" x14ac:dyDescent="0.3">
      <c r="A234" s="1" t="s">
        <v>249</v>
      </c>
      <c r="B234" s="1" t="s">
        <v>367</v>
      </c>
      <c r="C234" s="2">
        <v>45292</v>
      </c>
      <c r="D234" s="2">
        <v>45582</v>
      </c>
      <c r="E234" s="1" t="s">
        <v>376</v>
      </c>
      <c r="F234" s="1" t="s">
        <v>380</v>
      </c>
      <c r="G234" s="1" t="s">
        <v>382</v>
      </c>
      <c r="H234" s="1" t="s">
        <v>386</v>
      </c>
      <c r="I234">
        <v>80448.75</v>
      </c>
      <c r="J234">
        <v>236987</v>
      </c>
      <c r="K234">
        <v>43849</v>
      </c>
      <c r="L234">
        <v>1126</v>
      </c>
      <c r="M234">
        <v>213003.89</v>
      </c>
      <c r="N234" s="1" t="s">
        <v>389</v>
      </c>
      <c r="O234">
        <v>9</v>
      </c>
      <c r="P234" s="8">
        <v>0.18502702679893801</v>
      </c>
      <c r="Q234" s="8">
        <v>2.5679034869666401E-2</v>
      </c>
      <c r="R234" s="1">
        <v>71.446492007104794</v>
      </c>
      <c r="S234" s="3">
        <v>2.6476967013160553</v>
      </c>
      <c r="T234" s="1">
        <v>132555.14000000001</v>
      </c>
      <c r="U234" s="2">
        <v>45582</v>
      </c>
      <c r="V234" s="10">
        <v>61.73</v>
      </c>
      <c r="W234">
        <v>290</v>
      </c>
      <c r="X234" s="3">
        <v>4.8576681338228926</v>
      </c>
      <c r="Y234" s="7">
        <v>1.3996488447614164E-2</v>
      </c>
      <c r="Z234">
        <v>0.37768676431214498</v>
      </c>
      <c r="AA234"/>
      <c r="AB234"/>
    </row>
    <row r="235" spans="1:28" x14ac:dyDescent="0.3">
      <c r="A235" s="1" t="s">
        <v>250</v>
      </c>
      <c r="B235" s="1" t="s">
        <v>367</v>
      </c>
      <c r="C235" s="2">
        <v>45345</v>
      </c>
      <c r="D235" s="2">
        <v>45478</v>
      </c>
      <c r="E235" s="1" t="s">
        <v>375</v>
      </c>
      <c r="F235" s="1" t="s">
        <v>380</v>
      </c>
      <c r="G235" s="1" t="s">
        <v>385</v>
      </c>
      <c r="H235" s="1" t="s">
        <v>387</v>
      </c>
      <c r="I235">
        <v>13834.11</v>
      </c>
      <c r="J235">
        <v>461274</v>
      </c>
      <c r="K235">
        <v>35591</v>
      </c>
      <c r="L235">
        <v>1860</v>
      </c>
      <c r="M235">
        <v>106226.02</v>
      </c>
      <c r="N235" s="1" t="s">
        <v>389</v>
      </c>
      <c r="O235">
        <v>8</v>
      </c>
      <c r="P235" s="8">
        <v>7.7158044893056998E-2</v>
      </c>
      <c r="Q235" s="8">
        <v>5.22604029108482E-2</v>
      </c>
      <c r="R235" s="1">
        <v>7.437693548387097</v>
      </c>
      <c r="S235" s="3">
        <v>7.6785582881732184</v>
      </c>
      <c r="T235" s="1">
        <v>92391.91</v>
      </c>
      <c r="U235" s="2">
        <v>45478</v>
      </c>
      <c r="V235" s="10">
        <v>79.31</v>
      </c>
      <c r="W235">
        <v>133</v>
      </c>
      <c r="X235" s="3">
        <v>2.984631507965497</v>
      </c>
      <c r="Y235" s="7">
        <v>0.13445028267087655</v>
      </c>
      <c r="Z235">
        <v>0.13023278100789201</v>
      </c>
      <c r="AA235"/>
      <c r="AB235"/>
    </row>
    <row r="236" spans="1:28" x14ac:dyDescent="0.3">
      <c r="A236" s="1" t="s">
        <v>251</v>
      </c>
      <c r="B236" s="1" t="s">
        <v>371</v>
      </c>
      <c r="C236" s="2">
        <v>45550</v>
      </c>
      <c r="D236" s="2">
        <v>45368</v>
      </c>
      <c r="E236" s="1" t="s">
        <v>374</v>
      </c>
      <c r="F236" s="1" t="s">
        <v>379</v>
      </c>
      <c r="G236" s="1" t="s">
        <v>382</v>
      </c>
      <c r="H236" s="1" t="s">
        <v>386</v>
      </c>
      <c r="I236">
        <v>60879.22</v>
      </c>
      <c r="J236">
        <v>483934</v>
      </c>
      <c r="K236">
        <v>18858</v>
      </c>
      <c r="L236">
        <v>1386</v>
      </c>
      <c r="M236">
        <v>193146.01</v>
      </c>
      <c r="N236" s="1" t="s">
        <v>390</v>
      </c>
      <c r="O236">
        <v>6</v>
      </c>
      <c r="P236" s="8">
        <v>3.8968123752412501E-2</v>
      </c>
      <c r="Q236" s="8">
        <v>7.3496659242761705E-2</v>
      </c>
      <c r="R236" s="1">
        <v>43.924401154401153</v>
      </c>
      <c r="S236" s="3">
        <v>3.1726098001912639</v>
      </c>
      <c r="T236" s="1">
        <v>132266.79</v>
      </c>
      <c r="U236" s="2">
        <v>45580</v>
      </c>
      <c r="V236" s="10">
        <v>41</v>
      </c>
      <c r="W236">
        <v>30</v>
      </c>
      <c r="X236" s="3">
        <v>10.242125888217203</v>
      </c>
      <c r="Y236" s="7">
        <v>2.276638892548229E-2</v>
      </c>
      <c r="Z236">
        <v>0.31519791685057302</v>
      </c>
      <c r="AA236"/>
      <c r="AB236"/>
    </row>
    <row r="237" spans="1:28" x14ac:dyDescent="0.3">
      <c r="A237" s="1" t="s">
        <v>252</v>
      </c>
      <c r="B237" s="1" t="s">
        <v>370</v>
      </c>
      <c r="C237" s="2">
        <v>45435</v>
      </c>
      <c r="D237" s="2">
        <v>45494</v>
      </c>
      <c r="E237" s="1" t="s">
        <v>375</v>
      </c>
      <c r="F237" s="1" t="s">
        <v>381</v>
      </c>
      <c r="G237" s="1" t="s">
        <v>384</v>
      </c>
      <c r="H237" s="1" t="s">
        <v>386</v>
      </c>
      <c r="I237">
        <v>50692.42</v>
      </c>
      <c r="J237">
        <v>344746</v>
      </c>
      <c r="K237">
        <v>19626</v>
      </c>
      <c r="L237">
        <v>1354</v>
      </c>
      <c r="M237">
        <v>207558.6</v>
      </c>
      <c r="N237" s="1" t="s">
        <v>391</v>
      </c>
      <c r="O237">
        <v>7</v>
      </c>
      <c r="P237" s="8">
        <v>5.6928869370493101E-2</v>
      </c>
      <c r="Q237" s="8">
        <v>6.8990115153368003E-2</v>
      </c>
      <c r="R237" s="1">
        <v>37.439010339734118</v>
      </c>
      <c r="S237" s="3">
        <v>4.0944701397171412</v>
      </c>
      <c r="T237" s="1">
        <v>156866.18</v>
      </c>
      <c r="U237" s="2">
        <v>45494</v>
      </c>
      <c r="V237" s="10">
        <v>42.64</v>
      </c>
      <c r="W237">
        <v>59</v>
      </c>
      <c r="X237" s="3">
        <v>10.57569550596148</v>
      </c>
      <c r="Y237" s="7">
        <v>2.6710107743919111E-2</v>
      </c>
      <c r="Z237">
        <v>0.24423184584979901</v>
      </c>
      <c r="AA237"/>
      <c r="AB237"/>
    </row>
    <row r="238" spans="1:28" x14ac:dyDescent="0.3">
      <c r="A238" s="1" t="s">
        <v>253</v>
      </c>
      <c r="B238" s="1" t="s">
        <v>371</v>
      </c>
      <c r="C238" s="2">
        <v>45303</v>
      </c>
      <c r="D238" s="2">
        <v>45451</v>
      </c>
      <c r="E238" s="1" t="s">
        <v>372</v>
      </c>
      <c r="F238" s="1" t="s">
        <v>378</v>
      </c>
      <c r="G238" s="1" t="s">
        <v>382</v>
      </c>
      <c r="H238" s="1" t="s">
        <v>386</v>
      </c>
      <c r="I238">
        <v>66020.92</v>
      </c>
      <c r="J238">
        <v>1566450</v>
      </c>
      <c r="K238">
        <v>14467</v>
      </c>
      <c r="L238">
        <v>775</v>
      </c>
      <c r="M238">
        <v>223332.98</v>
      </c>
      <c r="N238" s="1" t="s">
        <v>389</v>
      </c>
      <c r="O238">
        <v>9</v>
      </c>
      <c r="P238" s="8">
        <v>9.2355325736537992E-3</v>
      </c>
      <c r="Q238" s="8">
        <v>5.3570194235155903E-2</v>
      </c>
      <c r="R238" s="1">
        <v>85.188283870967737</v>
      </c>
      <c r="S238" s="3">
        <v>3.382760797638082</v>
      </c>
      <c r="T238" s="1">
        <v>157312.06</v>
      </c>
      <c r="U238" s="2">
        <v>45451</v>
      </c>
      <c r="V238" s="10">
        <v>22.08</v>
      </c>
      <c r="W238">
        <v>148</v>
      </c>
      <c r="X238" s="3">
        <v>15.437407893827332</v>
      </c>
      <c r="Y238" s="7">
        <v>1.1738703429155487E-2</v>
      </c>
      <c r="Z238">
        <v>0.29561652739331201</v>
      </c>
      <c r="AA238"/>
      <c r="AB238"/>
    </row>
    <row r="239" spans="1:28" x14ac:dyDescent="0.3">
      <c r="A239" s="1" t="s">
        <v>254</v>
      </c>
      <c r="B239" s="1" t="s">
        <v>367</v>
      </c>
      <c r="C239" s="2">
        <v>45515</v>
      </c>
      <c r="D239" s="2">
        <v>45416</v>
      </c>
      <c r="E239" s="1" t="s">
        <v>377</v>
      </c>
      <c r="F239" s="1" t="s">
        <v>381</v>
      </c>
      <c r="G239" s="1" t="s">
        <v>382</v>
      </c>
      <c r="H239" s="1" t="s">
        <v>387</v>
      </c>
      <c r="I239">
        <v>11161.09</v>
      </c>
      <c r="J239">
        <v>1569904</v>
      </c>
      <c r="K239">
        <v>40758</v>
      </c>
      <c r="L239">
        <v>80</v>
      </c>
      <c r="M239">
        <v>140681.38</v>
      </c>
      <c r="N239" s="1" t="s">
        <v>391</v>
      </c>
      <c r="O239">
        <v>5</v>
      </c>
      <c r="P239" s="8">
        <v>2.59620970454244E-2</v>
      </c>
      <c r="Q239" s="8">
        <v>1.96280484812797E-3</v>
      </c>
      <c r="R239" s="1">
        <v>139.51362499999999</v>
      </c>
      <c r="S239" s="3">
        <v>12.604627325825703</v>
      </c>
      <c r="T239" s="1">
        <v>129520.29000000001</v>
      </c>
      <c r="U239" s="2">
        <v>45545</v>
      </c>
      <c r="V239" s="10">
        <v>79.260000000000005</v>
      </c>
      <c r="W239">
        <v>30</v>
      </c>
      <c r="X239" s="3">
        <v>3.451626183816674</v>
      </c>
      <c r="Y239" s="7">
        <v>7.167758704570969E-3</v>
      </c>
      <c r="Z239">
        <v>7.9335943392082206E-2</v>
      </c>
      <c r="AA239"/>
      <c r="AB239"/>
    </row>
    <row r="240" spans="1:28" x14ac:dyDescent="0.3">
      <c r="A240" s="1" t="s">
        <v>255</v>
      </c>
      <c r="B240" s="1" t="s">
        <v>368</v>
      </c>
      <c r="C240" s="2">
        <v>45563</v>
      </c>
      <c r="D240" s="2">
        <v>45436</v>
      </c>
      <c r="E240" s="1" t="s">
        <v>374</v>
      </c>
      <c r="F240" s="1" t="s">
        <v>380</v>
      </c>
      <c r="G240" s="1" t="s">
        <v>382</v>
      </c>
      <c r="H240" s="1" t="s">
        <v>386</v>
      </c>
      <c r="I240">
        <v>60098.46</v>
      </c>
      <c r="J240">
        <v>1287715</v>
      </c>
      <c r="K240">
        <v>4134</v>
      </c>
      <c r="L240">
        <v>386</v>
      </c>
      <c r="M240">
        <v>59070.61</v>
      </c>
      <c r="N240" s="1" t="s">
        <v>389</v>
      </c>
      <c r="O240">
        <v>8</v>
      </c>
      <c r="P240" s="8">
        <v>3.2103376911816698E-3</v>
      </c>
      <c r="Q240" s="8">
        <v>9.3372036768263195E-2</v>
      </c>
      <c r="R240" s="1">
        <v>155.69549222797926</v>
      </c>
      <c r="S240" s="3">
        <v>0.9828972323084485</v>
      </c>
      <c r="T240" s="1">
        <v>-1027.8499999999985</v>
      </c>
      <c r="U240" s="2">
        <v>45593</v>
      </c>
      <c r="V240" s="10">
        <v>69.319999999999993</v>
      </c>
      <c r="W240">
        <v>30</v>
      </c>
      <c r="X240" s="3">
        <v>14.288971940009676</v>
      </c>
      <c r="Y240" s="7">
        <v>6.4227935291519952E-3</v>
      </c>
      <c r="Z240">
        <v>1.0174003620412899</v>
      </c>
      <c r="AA240"/>
      <c r="AB240"/>
    </row>
    <row r="241" spans="1:28" x14ac:dyDescent="0.3">
      <c r="A241" s="1" t="s">
        <v>256</v>
      </c>
      <c r="B241" s="1" t="s">
        <v>368</v>
      </c>
      <c r="C241" s="2">
        <v>45447</v>
      </c>
      <c r="D241" s="2">
        <v>45564</v>
      </c>
      <c r="E241" s="1" t="s">
        <v>372</v>
      </c>
      <c r="F241" s="1" t="s">
        <v>381</v>
      </c>
      <c r="G241" s="1" t="s">
        <v>384</v>
      </c>
      <c r="H241" s="1" t="s">
        <v>386</v>
      </c>
      <c r="I241">
        <v>58341.04</v>
      </c>
      <c r="J241">
        <v>208588</v>
      </c>
      <c r="K241">
        <v>17743</v>
      </c>
      <c r="L241">
        <v>232</v>
      </c>
      <c r="M241">
        <v>71274.179999999993</v>
      </c>
      <c r="N241" s="1" t="s">
        <v>389</v>
      </c>
      <c r="O241">
        <v>7</v>
      </c>
      <c r="P241" s="8">
        <v>8.5062419698161001E-2</v>
      </c>
      <c r="Q241" s="8">
        <v>1.30755791016175E-2</v>
      </c>
      <c r="R241" s="1">
        <v>251.47</v>
      </c>
      <c r="S241" s="3">
        <v>1.221681684111219</v>
      </c>
      <c r="T241" s="1">
        <v>12933.139999999992</v>
      </c>
      <c r="U241" s="2">
        <v>45564</v>
      </c>
      <c r="V241" s="10">
        <v>47.52</v>
      </c>
      <c r="W241">
        <v>117</v>
      </c>
      <c r="X241" s="3">
        <v>4.0170309417798569</v>
      </c>
      <c r="Y241" s="7">
        <v>3.9766174891637173E-3</v>
      </c>
      <c r="Z241">
        <v>0.81854382610925902</v>
      </c>
      <c r="AA241"/>
      <c r="AB241"/>
    </row>
    <row r="242" spans="1:28" x14ac:dyDescent="0.3">
      <c r="A242" s="1" t="s">
        <v>257</v>
      </c>
      <c r="B242" s="1" t="s">
        <v>369</v>
      </c>
      <c r="C242" s="2">
        <v>45299</v>
      </c>
      <c r="D242" s="2">
        <v>45613</v>
      </c>
      <c r="E242" s="1" t="s">
        <v>376</v>
      </c>
      <c r="F242" s="1" t="s">
        <v>379</v>
      </c>
      <c r="G242" s="1" t="s">
        <v>384</v>
      </c>
      <c r="H242" s="1" t="s">
        <v>388</v>
      </c>
      <c r="I242">
        <v>58262.71</v>
      </c>
      <c r="J242">
        <v>1752159</v>
      </c>
      <c r="K242">
        <v>16434</v>
      </c>
      <c r="L242">
        <v>1096</v>
      </c>
      <c r="M242">
        <v>80966.720000000001</v>
      </c>
      <c r="N242" s="1" t="s">
        <v>390</v>
      </c>
      <c r="O242">
        <v>9</v>
      </c>
      <c r="P242" s="8">
        <v>9.3792857839956299E-3</v>
      </c>
      <c r="Q242" s="8">
        <v>6.6691006450042598E-2</v>
      </c>
      <c r="R242" s="1">
        <v>53.159406934306567</v>
      </c>
      <c r="S242" s="3">
        <v>1.3896833841062319</v>
      </c>
      <c r="T242" s="1">
        <v>22704.010000000002</v>
      </c>
      <c r="U242" s="2">
        <v>45613</v>
      </c>
      <c r="V242" s="10">
        <v>67.88</v>
      </c>
      <c r="W242">
        <v>314</v>
      </c>
      <c r="X242" s="3">
        <v>4.9267810636485336</v>
      </c>
      <c r="Y242" s="7">
        <v>1.881134605650853E-2</v>
      </c>
      <c r="Z242">
        <v>0.71958836914722502</v>
      </c>
      <c r="AA242"/>
      <c r="AB242"/>
    </row>
    <row r="243" spans="1:28" x14ac:dyDescent="0.3">
      <c r="A243" s="1" t="s">
        <v>258</v>
      </c>
      <c r="B243" s="1" t="s">
        <v>371</v>
      </c>
      <c r="C243" s="2">
        <v>45413</v>
      </c>
      <c r="D243" s="2">
        <v>45603</v>
      </c>
      <c r="E243" s="1" t="s">
        <v>374</v>
      </c>
      <c r="F243" s="1" t="s">
        <v>380</v>
      </c>
      <c r="G243" s="1" t="s">
        <v>384</v>
      </c>
      <c r="H243" s="1" t="s">
        <v>387</v>
      </c>
      <c r="I243">
        <v>62331.33</v>
      </c>
      <c r="J243">
        <v>1710833</v>
      </c>
      <c r="K243">
        <v>48775</v>
      </c>
      <c r="L243">
        <v>593</v>
      </c>
      <c r="M243">
        <v>152512.6</v>
      </c>
      <c r="N243" s="1" t="s">
        <v>389</v>
      </c>
      <c r="O243">
        <v>7</v>
      </c>
      <c r="P243" s="8">
        <v>2.8509503849878999E-2</v>
      </c>
      <c r="Q243" s="8">
        <v>1.2157867760123E-2</v>
      </c>
      <c r="R243" s="1">
        <v>105.1118549747049</v>
      </c>
      <c r="S243" s="3">
        <v>2.446804841160938</v>
      </c>
      <c r="T243" s="1">
        <v>90181.27</v>
      </c>
      <c r="U243" s="2">
        <v>45603</v>
      </c>
      <c r="V243" s="10">
        <v>17.07</v>
      </c>
      <c r="W243">
        <v>190</v>
      </c>
      <c r="X243" s="3">
        <v>3.126860071758073</v>
      </c>
      <c r="Y243" s="7">
        <v>9.5136747443059534E-3</v>
      </c>
      <c r="Z243">
        <v>0.40869626509547402</v>
      </c>
      <c r="AA243"/>
      <c r="AB243"/>
    </row>
    <row r="244" spans="1:28" x14ac:dyDescent="0.3">
      <c r="A244" s="1" t="s">
        <v>259</v>
      </c>
      <c r="B244" s="1" t="s">
        <v>371</v>
      </c>
      <c r="C244" s="2">
        <v>45455</v>
      </c>
      <c r="D244" s="2">
        <v>45620</v>
      </c>
      <c r="E244" s="1" t="s">
        <v>372</v>
      </c>
      <c r="F244" s="1" t="s">
        <v>378</v>
      </c>
      <c r="G244" s="1" t="s">
        <v>384</v>
      </c>
      <c r="H244" s="1" t="s">
        <v>386</v>
      </c>
      <c r="I244">
        <v>69264.45</v>
      </c>
      <c r="J244">
        <v>1755025</v>
      </c>
      <c r="K244">
        <v>11233</v>
      </c>
      <c r="L244">
        <v>1519</v>
      </c>
      <c r="M244">
        <v>17874.310000000001</v>
      </c>
      <c r="N244" s="1" t="s">
        <v>389</v>
      </c>
      <c r="O244">
        <v>5</v>
      </c>
      <c r="P244" s="8">
        <v>6.4004786256606E-3</v>
      </c>
      <c r="Q244" s="8">
        <v>0.13522656458648599</v>
      </c>
      <c r="R244" s="1">
        <v>45.598716260697827</v>
      </c>
      <c r="S244" s="3">
        <v>0.25805893210730763</v>
      </c>
      <c r="T244" s="1">
        <v>-51390.14</v>
      </c>
      <c r="U244" s="2">
        <v>45620</v>
      </c>
      <c r="V244" s="10">
        <v>13.89</v>
      </c>
      <c r="W244">
        <v>165</v>
      </c>
      <c r="X244" s="3">
        <v>1.5912320840381022</v>
      </c>
      <c r="Y244" s="7">
        <v>2.1930441951101901E-2</v>
      </c>
      <c r="Z244">
        <v>3.87508384939055</v>
      </c>
      <c r="AA244"/>
      <c r="AB244"/>
    </row>
    <row r="245" spans="1:28" x14ac:dyDescent="0.3">
      <c r="A245" s="1" t="s">
        <v>260</v>
      </c>
      <c r="B245" s="1" t="s">
        <v>369</v>
      </c>
      <c r="C245" s="2">
        <v>45381</v>
      </c>
      <c r="D245" s="2">
        <v>45604</v>
      </c>
      <c r="E245" s="1" t="s">
        <v>376</v>
      </c>
      <c r="F245" s="1" t="s">
        <v>379</v>
      </c>
      <c r="G245" s="1" t="s">
        <v>385</v>
      </c>
      <c r="H245" s="1" t="s">
        <v>387</v>
      </c>
      <c r="I245">
        <v>81473.95</v>
      </c>
      <c r="J245">
        <v>1304311</v>
      </c>
      <c r="K245">
        <v>2141</v>
      </c>
      <c r="L245">
        <v>1147</v>
      </c>
      <c r="M245">
        <v>162650.19</v>
      </c>
      <c r="N245" s="1" t="s">
        <v>390</v>
      </c>
      <c r="O245">
        <v>8</v>
      </c>
      <c r="P245" s="8">
        <v>1.64147967777624E-3</v>
      </c>
      <c r="Q245" s="8">
        <v>0.53573096683792598</v>
      </c>
      <c r="R245" s="1">
        <v>71.032214472537049</v>
      </c>
      <c r="S245" s="3">
        <v>1.9963459486130231</v>
      </c>
      <c r="T245" s="1">
        <v>81176.240000000005</v>
      </c>
      <c r="U245" s="2">
        <v>45604</v>
      </c>
      <c r="V245" s="10">
        <v>77.44</v>
      </c>
      <c r="W245">
        <v>223</v>
      </c>
      <c r="X245" s="3">
        <v>75.969262027090153</v>
      </c>
      <c r="Y245" s="7">
        <v>1.4078119447995341E-2</v>
      </c>
      <c r="Z245">
        <v>0.50091518491309495</v>
      </c>
      <c r="AA245"/>
      <c r="AB245"/>
    </row>
    <row r="246" spans="1:28" x14ac:dyDescent="0.3">
      <c r="A246" s="1" t="s">
        <v>261</v>
      </c>
      <c r="B246" s="1" t="s">
        <v>369</v>
      </c>
      <c r="C246" s="2">
        <v>45427</v>
      </c>
      <c r="D246" s="2">
        <v>45390</v>
      </c>
      <c r="E246" s="1" t="s">
        <v>375</v>
      </c>
      <c r="F246" s="1" t="s">
        <v>379</v>
      </c>
      <c r="G246" s="1" t="s">
        <v>385</v>
      </c>
      <c r="H246" s="1" t="s">
        <v>386</v>
      </c>
      <c r="I246">
        <v>30632.97</v>
      </c>
      <c r="J246">
        <v>1764423</v>
      </c>
      <c r="K246">
        <v>19019</v>
      </c>
      <c r="L246">
        <v>1083</v>
      </c>
      <c r="M246">
        <v>97445.02</v>
      </c>
      <c r="N246" s="1" t="s">
        <v>391</v>
      </c>
      <c r="O246">
        <v>7</v>
      </c>
      <c r="P246" s="8">
        <v>1.0779161232879E-2</v>
      </c>
      <c r="Q246" s="8">
        <v>5.6943056943056999E-2</v>
      </c>
      <c r="R246" s="1">
        <v>28.285290858725762</v>
      </c>
      <c r="S246" s="3">
        <v>3.1810503519573845</v>
      </c>
      <c r="T246" s="1">
        <v>66812.05</v>
      </c>
      <c r="U246" s="2">
        <v>45457</v>
      </c>
      <c r="V246" s="10">
        <v>21.71</v>
      </c>
      <c r="W246">
        <v>30</v>
      </c>
      <c r="X246" s="3">
        <v>5.1235617014564383</v>
      </c>
      <c r="Y246" s="7">
        <v>3.5354064591190469E-2</v>
      </c>
      <c r="Z246">
        <v>0.31436157537860798</v>
      </c>
      <c r="AA246"/>
      <c r="AB246"/>
    </row>
    <row r="247" spans="1:28" x14ac:dyDescent="0.3">
      <c r="A247" s="1" t="s">
        <v>262</v>
      </c>
      <c r="B247" s="1" t="s">
        <v>369</v>
      </c>
      <c r="C247" s="2">
        <v>45477</v>
      </c>
      <c r="D247" s="2">
        <v>45469</v>
      </c>
      <c r="E247" s="1" t="s">
        <v>377</v>
      </c>
      <c r="F247" s="1" t="s">
        <v>378</v>
      </c>
      <c r="G247" s="1" t="s">
        <v>383</v>
      </c>
      <c r="H247" s="1" t="s">
        <v>386</v>
      </c>
      <c r="I247">
        <v>83379.69</v>
      </c>
      <c r="J247">
        <v>1360875</v>
      </c>
      <c r="K247">
        <v>21384</v>
      </c>
      <c r="L247">
        <v>1557</v>
      </c>
      <c r="M247">
        <v>80858.03</v>
      </c>
      <c r="N247" s="1" t="s">
        <v>389</v>
      </c>
      <c r="O247">
        <v>7</v>
      </c>
      <c r="P247" s="8">
        <v>1.5713419674841599E-2</v>
      </c>
      <c r="Q247" s="8">
        <v>7.2811447811447799E-2</v>
      </c>
      <c r="R247" s="1">
        <v>53.55150289017341</v>
      </c>
      <c r="S247" s="3">
        <v>0.96975690362964884</v>
      </c>
      <c r="T247" s="1">
        <v>-2521.6600000000035</v>
      </c>
      <c r="U247" s="2">
        <v>45507</v>
      </c>
      <c r="V247" s="10">
        <v>67.8</v>
      </c>
      <c r="W247">
        <v>30</v>
      </c>
      <c r="X247" s="3">
        <v>3.7812397119341563</v>
      </c>
      <c r="Y247" s="7">
        <v>1.8673612242981474E-2</v>
      </c>
      <c r="Z247">
        <v>1.03118626560652</v>
      </c>
      <c r="AA247"/>
      <c r="AB247"/>
    </row>
    <row r="248" spans="1:28" x14ac:dyDescent="0.3">
      <c r="A248" s="1" t="s">
        <v>263</v>
      </c>
      <c r="B248" s="1" t="s">
        <v>367</v>
      </c>
      <c r="C248" s="2">
        <v>45469</v>
      </c>
      <c r="D248" s="2">
        <v>45332</v>
      </c>
      <c r="E248" s="1" t="s">
        <v>376</v>
      </c>
      <c r="F248" s="1" t="s">
        <v>378</v>
      </c>
      <c r="G248" s="1" t="s">
        <v>384</v>
      </c>
      <c r="H248" s="1" t="s">
        <v>386</v>
      </c>
      <c r="I248">
        <v>52334.29</v>
      </c>
      <c r="J248">
        <v>173950</v>
      </c>
      <c r="K248">
        <v>43903</v>
      </c>
      <c r="L248">
        <v>1529</v>
      </c>
      <c r="M248">
        <v>221079.18</v>
      </c>
      <c r="N248" s="1" t="s">
        <v>390</v>
      </c>
      <c r="O248">
        <v>4</v>
      </c>
      <c r="P248" s="8">
        <v>0.25238861741879798</v>
      </c>
      <c r="Q248" s="8">
        <v>3.4826777213402299E-2</v>
      </c>
      <c r="R248" s="1">
        <v>34.227789404839768</v>
      </c>
      <c r="S248" s="3">
        <v>4.2243657074549015</v>
      </c>
      <c r="T248" s="1">
        <v>168744.88999999998</v>
      </c>
      <c r="U248" s="2">
        <v>45499</v>
      </c>
      <c r="V248" s="10">
        <v>74.489999999999995</v>
      </c>
      <c r="W248">
        <v>30</v>
      </c>
      <c r="X248" s="3">
        <v>5.0356280891966376</v>
      </c>
      <c r="Y248" s="7">
        <v>2.9216026433147368E-2</v>
      </c>
      <c r="Z248">
        <v>0.23672192922011001</v>
      </c>
      <c r="AA248"/>
      <c r="AB248"/>
    </row>
    <row r="249" spans="1:28" x14ac:dyDescent="0.3">
      <c r="A249" s="1" t="s">
        <v>264</v>
      </c>
      <c r="B249" s="1" t="s">
        <v>371</v>
      </c>
      <c r="C249" s="2">
        <v>45319</v>
      </c>
      <c r="D249" s="2">
        <v>45575</v>
      </c>
      <c r="E249" s="1" t="s">
        <v>373</v>
      </c>
      <c r="F249" s="1" t="s">
        <v>381</v>
      </c>
      <c r="G249" s="1" t="s">
        <v>385</v>
      </c>
      <c r="H249" s="1" t="s">
        <v>388</v>
      </c>
      <c r="I249">
        <v>12320.54</v>
      </c>
      <c r="J249">
        <v>379638</v>
      </c>
      <c r="K249">
        <v>46734</v>
      </c>
      <c r="L249">
        <v>1639</v>
      </c>
      <c r="M249">
        <v>120400.57</v>
      </c>
      <c r="N249" s="1" t="s">
        <v>389</v>
      </c>
      <c r="O249">
        <v>7</v>
      </c>
      <c r="P249" s="8">
        <v>0.12310148088442099</v>
      </c>
      <c r="Q249" s="8">
        <v>3.5070826379081599E-2</v>
      </c>
      <c r="R249" s="1">
        <v>7.5171079926784632</v>
      </c>
      <c r="S249" s="3">
        <v>9.7723452056484543</v>
      </c>
      <c r="T249" s="1">
        <v>108080.03</v>
      </c>
      <c r="U249" s="2">
        <v>45575</v>
      </c>
      <c r="V249" s="10">
        <v>37.85</v>
      </c>
      <c r="W249">
        <v>256</v>
      </c>
      <c r="X249" s="3">
        <v>2.5762949886592206</v>
      </c>
      <c r="Y249" s="7">
        <v>0.13302988343043404</v>
      </c>
      <c r="Z249">
        <v>0.102329581994504</v>
      </c>
      <c r="AA249"/>
      <c r="AB249"/>
    </row>
    <row r="250" spans="1:28" x14ac:dyDescent="0.3">
      <c r="A250" s="1" t="s">
        <v>265</v>
      </c>
      <c r="B250" s="1" t="s">
        <v>367</v>
      </c>
      <c r="C250" s="2">
        <v>45511</v>
      </c>
      <c r="D250" s="2">
        <v>45359</v>
      </c>
      <c r="E250" s="1" t="s">
        <v>376</v>
      </c>
      <c r="F250" s="1" t="s">
        <v>380</v>
      </c>
      <c r="G250" s="1" t="s">
        <v>382</v>
      </c>
      <c r="H250" s="1" t="s">
        <v>388</v>
      </c>
      <c r="I250">
        <v>10562.34</v>
      </c>
      <c r="J250">
        <v>650517</v>
      </c>
      <c r="K250">
        <v>37129</v>
      </c>
      <c r="L250">
        <v>1637</v>
      </c>
      <c r="M250">
        <v>32812.730000000003</v>
      </c>
      <c r="N250" s="1" t="s">
        <v>390</v>
      </c>
      <c r="O250">
        <v>4</v>
      </c>
      <c r="P250" s="8">
        <v>5.7076140977099801E-2</v>
      </c>
      <c r="Q250" s="8">
        <v>4.4089525707667901E-2</v>
      </c>
      <c r="R250" s="1">
        <v>6.4522541233964574</v>
      </c>
      <c r="S250" s="3">
        <v>3.1065777091061264</v>
      </c>
      <c r="T250" s="1">
        <v>22250.390000000003</v>
      </c>
      <c r="U250" s="2">
        <v>45541</v>
      </c>
      <c r="V250" s="10">
        <v>20.76</v>
      </c>
      <c r="W250">
        <v>30</v>
      </c>
      <c r="X250" s="3">
        <v>0.88374936033828011</v>
      </c>
      <c r="Y250" s="7">
        <v>0.15498459621636873</v>
      </c>
      <c r="Z250">
        <v>0.32189762936518801</v>
      </c>
      <c r="AA250"/>
      <c r="AB250"/>
    </row>
    <row r="251" spans="1:28" x14ac:dyDescent="0.3">
      <c r="A251" s="1" t="s">
        <v>266</v>
      </c>
      <c r="B251" s="1" t="s">
        <v>369</v>
      </c>
      <c r="C251" s="2">
        <v>45332</v>
      </c>
      <c r="D251" s="2">
        <v>45455</v>
      </c>
      <c r="E251" s="1" t="s">
        <v>376</v>
      </c>
      <c r="F251" s="1" t="s">
        <v>378</v>
      </c>
      <c r="G251" s="1" t="s">
        <v>384</v>
      </c>
      <c r="H251" s="1" t="s">
        <v>388</v>
      </c>
      <c r="I251">
        <v>36752.639999999999</v>
      </c>
      <c r="J251">
        <v>1203224</v>
      </c>
      <c r="K251">
        <v>23967</v>
      </c>
      <c r="L251">
        <v>709</v>
      </c>
      <c r="M251">
        <v>208419.22</v>
      </c>
      <c r="N251" s="1" t="s">
        <v>391</v>
      </c>
      <c r="O251">
        <v>8</v>
      </c>
      <c r="P251" s="8">
        <v>1.9918984328770001E-2</v>
      </c>
      <c r="Q251" s="8">
        <v>2.95823423874494E-2</v>
      </c>
      <c r="R251" s="1">
        <v>51.837291960507756</v>
      </c>
      <c r="S251" s="3">
        <v>5.6708639161703758</v>
      </c>
      <c r="T251" s="1">
        <v>171666.58000000002</v>
      </c>
      <c r="U251" s="2">
        <v>45455</v>
      </c>
      <c r="V251" s="10">
        <v>39.299999999999997</v>
      </c>
      <c r="W251">
        <v>123</v>
      </c>
      <c r="X251" s="3">
        <v>8.696091292193433</v>
      </c>
      <c r="Y251" s="7">
        <v>1.9291131194929128E-2</v>
      </c>
      <c r="Z251">
        <v>0.176339974787354</v>
      </c>
      <c r="AA251"/>
      <c r="AB251"/>
    </row>
    <row r="252" spans="1:28" x14ac:dyDescent="0.3">
      <c r="A252" s="1" t="s">
        <v>267</v>
      </c>
      <c r="B252" s="1" t="s">
        <v>371</v>
      </c>
      <c r="C252" s="2">
        <v>45519</v>
      </c>
      <c r="D252" s="2">
        <v>45521</v>
      </c>
      <c r="E252" s="1" t="s">
        <v>377</v>
      </c>
      <c r="F252" s="1" t="s">
        <v>378</v>
      </c>
      <c r="G252" s="1" t="s">
        <v>383</v>
      </c>
      <c r="H252" s="1" t="s">
        <v>387</v>
      </c>
      <c r="I252">
        <v>79565.210000000006</v>
      </c>
      <c r="J252">
        <v>88547</v>
      </c>
      <c r="K252">
        <v>41603</v>
      </c>
      <c r="L252">
        <v>209</v>
      </c>
      <c r="M252">
        <v>21433.9</v>
      </c>
      <c r="N252" s="1" t="s">
        <v>391</v>
      </c>
      <c r="O252">
        <v>9</v>
      </c>
      <c r="P252" s="8">
        <v>0.46984087546726599</v>
      </c>
      <c r="Q252" s="8">
        <v>5.0236761771987604E-3</v>
      </c>
      <c r="R252" s="1">
        <v>380.69478468899524</v>
      </c>
      <c r="S252" s="3">
        <v>0.26938783923275011</v>
      </c>
      <c r="T252" s="1">
        <v>-58131.310000000005</v>
      </c>
      <c r="U252" s="2">
        <v>45521</v>
      </c>
      <c r="V252" s="10">
        <v>44.26</v>
      </c>
      <c r="W252">
        <v>2</v>
      </c>
      <c r="X252" s="3">
        <v>0.51520082686344737</v>
      </c>
      <c r="Y252" s="7">
        <v>2.6267762003016142E-3</v>
      </c>
      <c r="Z252">
        <v>3.7121200528135301</v>
      </c>
      <c r="AA252"/>
      <c r="AB252"/>
    </row>
    <row r="253" spans="1:28" x14ac:dyDescent="0.3">
      <c r="A253" s="1" t="s">
        <v>268</v>
      </c>
      <c r="B253" s="1" t="s">
        <v>367</v>
      </c>
      <c r="C253" s="2">
        <v>45483</v>
      </c>
      <c r="D253" s="2">
        <v>45344</v>
      </c>
      <c r="E253" s="1" t="s">
        <v>373</v>
      </c>
      <c r="F253" s="1" t="s">
        <v>380</v>
      </c>
      <c r="G253" s="1" t="s">
        <v>383</v>
      </c>
      <c r="H253" s="1" t="s">
        <v>387</v>
      </c>
      <c r="I253">
        <v>72229.69</v>
      </c>
      <c r="J253">
        <v>603083</v>
      </c>
      <c r="K253">
        <v>12172</v>
      </c>
      <c r="L253">
        <v>1955</v>
      </c>
      <c r="M253">
        <v>184419.81</v>
      </c>
      <c r="N253" s="1" t="s">
        <v>390</v>
      </c>
      <c r="O253">
        <v>9</v>
      </c>
      <c r="P253" s="8">
        <v>2.0182959891092901E-2</v>
      </c>
      <c r="Q253" s="8">
        <v>0.16061452513966501</v>
      </c>
      <c r="R253" s="1">
        <v>36.946132992327364</v>
      </c>
      <c r="S253" s="3">
        <v>2.5532410564132282</v>
      </c>
      <c r="T253" s="1">
        <v>112190.12</v>
      </c>
      <c r="U253" s="2">
        <v>45513</v>
      </c>
      <c r="V253" s="10">
        <v>12.11</v>
      </c>
      <c r="W253">
        <v>30</v>
      </c>
      <c r="X253" s="3">
        <v>15.151151002300361</v>
      </c>
      <c r="Y253" s="7">
        <v>2.7066432100151614E-2</v>
      </c>
      <c r="Z253">
        <v>0.39165906309088999</v>
      </c>
      <c r="AA253"/>
      <c r="AB253"/>
    </row>
    <row r="254" spans="1:28" x14ac:dyDescent="0.3">
      <c r="A254" s="1" t="s">
        <v>269</v>
      </c>
      <c r="B254" s="1" t="s">
        <v>367</v>
      </c>
      <c r="C254" s="2">
        <v>45436</v>
      </c>
      <c r="D254" s="2">
        <v>45539</v>
      </c>
      <c r="E254" s="1" t="s">
        <v>372</v>
      </c>
      <c r="F254" s="1" t="s">
        <v>378</v>
      </c>
      <c r="G254" s="1" t="s">
        <v>383</v>
      </c>
      <c r="H254" s="1" t="s">
        <v>388</v>
      </c>
      <c r="I254">
        <v>79918.42</v>
      </c>
      <c r="J254">
        <v>236368</v>
      </c>
      <c r="K254">
        <v>17390</v>
      </c>
      <c r="L254">
        <v>1087</v>
      </c>
      <c r="M254">
        <v>195737.49</v>
      </c>
      <c r="N254" s="1" t="s">
        <v>390</v>
      </c>
      <c r="O254">
        <v>8</v>
      </c>
      <c r="P254" s="8">
        <v>7.3571718675962905E-2</v>
      </c>
      <c r="Q254" s="8">
        <v>6.2507188039102907E-2</v>
      </c>
      <c r="R254" s="1">
        <v>73.522005519779214</v>
      </c>
      <c r="S254" s="3">
        <v>2.449216213233445</v>
      </c>
      <c r="T254" s="1">
        <v>115819.06999999999</v>
      </c>
      <c r="U254" s="2">
        <v>45539</v>
      </c>
      <c r="V254" s="10">
        <v>25.03</v>
      </c>
      <c r="W254">
        <v>103</v>
      </c>
      <c r="X254" s="3">
        <v>11.255749856239218</v>
      </c>
      <c r="Y254" s="7">
        <v>1.3601369997054497E-2</v>
      </c>
      <c r="Z254">
        <v>0.40829388381346898</v>
      </c>
      <c r="AA254"/>
      <c r="AB254"/>
    </row>
    <row r="255" spans="1:28" x14ac:dyDescent="0.3">
      <c r="A255" s="1" t="s">
        <v>270</v>
      </c>
      <c r="B255" s="1" t="s">
        <v>369</v>
      </c>
      <c r="C255" s="2">
        <v>45492</v>
      </c>
      <c r="D255" s="2">
        <v>45462</v>
      </c>
      <c r="E255" s="1" t="s">
        <v>372</v>
      </c>
      <c r="F255" s="1" t="s">
        <v>378</v>
      </c>
      <c r="G255" s="1" t="s">
        <v>382</v>
      </c>
      <c r="H255" s="1" t="s">
        <v>387</v>
      </c>
      <c r="I255">
        <v>54140.56</v>
      </c>
      <c r="J255">
        <v>595735</v>
      </c>
      <c r="K255">
        <v>4267</v>
      </c>
      <c r="L255">
        <v>1251</v>
      </c>
      <c r="M255">
        <v>94624.63</v>
      </c>
      <c r="N255" s="1" t="s">
        <v>390</v>
      </c>
      <c r="O255">
        <v>8</v>
      </c>
      <c r="P255" s="8">
        <v>7.1625806776502996E-3</v>
      </c>
      <c r="Q255" s="8">
        <v>0.29318022029528901</v>
      </c>
      <c r="R255" s="1">
        <v>43.27782573940847</v>
      </c>
      <c r="S255" s="3">
        <v>1.7477586120276556</v>
      </c>
      <c r="T255" s="1">
        <v>40484.070000000007</v>
      </c>
      <c r="U255" s="2">
        <v>45522</v>
      </c>
      <c r="V255" s="10">
        <v>34.869999999999997</v>
      </c>
      <c r="W255">
        <v>30</v>
      </c>
      <c r="X255" s="3">
        <v>22.175915162877903</v>
      </c>
      <c r="Y255" s="7">
        <v>2.3106521247656102E-2</v>
      </c>
      <c r="Z255">
        <v>0.57216139180676295</v>
      </c>
      <c r="AA255"/>
      <c r="AB255"/>
    </row>
    <row r="256" spans="1:28" x14ac:dyDescent="0.3">
      <c r="A256" s="1" t="s">
        <v>271</v>
      </c>
      <c r="B256" s="1" t="s">
        <v>371</v>
      </c>
      <c r="C256" s="2">
        <v>45503</v>
      </c>
      <c r="D256" s="2">
        <v>45425</v>
      </c>
      <c r="E256" s="1" t="s">
        <v>376</v>
      </c>
      <c r="F256" s="1" t="s">
        <v>381</v>
      </c>
      <c r="G256" s="1" t="s">
        <v>385</v>
      </c>
      <c r="H256" s="1" t="s">
        <v>386</v>
      </c>
      <c r="I256">
        <v>46818.9</v>
      </c>
      <c r="J256">
        <v>1790534</v>
      </c>
      <c r="K256">
        <v>40332</v>
      </c>
      <c r="L256">
        <v>461</v>
      </c>
      <c r="M256">
        <v>207949.09</v>
      </c>
      <c r="N256" s="1" t="s">
        <v>391</v>
      </c>
      <c r="O256">
        <v>6</v>
      </c>
      <c r="P256" s="8">
        <v>2.2525123789886099E-2</v>
      </c>
      <c r="Q256" s="8">
        <v>1.14301299216503E-2</v>
      </c>
      <c r="R256" s="1">
        <v>101.5594360086768</v>
      </c>
      <c r="S256" s="3">
        <v>4.4415629158309997</v>
      </c>
      <c r="T256" s="1">
        <v>161130.19</v>
      </c>
      <c r="U256" s="2">
        <v>45533</v>
      </c>
      <c r="V256" s="10">
        <v>62.52</v>
      </c>
      <c r="W256">
        <v>30</v>
      </c>
      <c r="X256" s="3">
        <v>5.1559330060497865</v>
      </c>
      <c r="Y256" s="7">
        <v>9.8464508991027121E-3</v>
      </c>
      <c r="Z256">
        <v>0.22514597202613401</v>
      </c>
      <c r="AA256"/>
      <c r="AB256"/>
    </row>
    <row r="257" spans="1:28" x14ac:dyDescent="0.3">
      <c r="A257" s="1" t="s">
        <v>272</v>
      </c>
      <c r="B257" s="1" t="s">
        <v>369</v>
      </c>
      <c r="C257" s="2">
        <v>45511</v>
      </c>
      <c r="D257" s="2">
        <v>45531</v>
      </c>
      <c r="E257" s="1" t="s">
        <v>373</v>
      </c>
      <c r="F257" s="1" t="s">
        <v>379</v>
      </c>
      <c r="G257" s="1" t="s">
        <v>382</v>
      </c>
      <c r="H257" s="1" t="s">
        <v>386</v>
      </c>
      <c r="I257">
        <v>19007.990000000002</v>
      </c>
      <c r="J257">
        <v>1844687</v>
      </c>
      <c r="K257">
        <v>27167</v>
      </c>
      <c r="L257">
        <v>1951</v>
      </c>
      <c r="M257">
        <v>133758.26</v>
      </c>
      <c r="N257" s="1" t="s">
        <v>389</v>
      </c>
      <c r="O257">
        <v>8</v>
      </c>
      <c r="P257" s="8">
        <v>1.4727159675326999E-2</v>
      </c>
      <c r="Q257" s="8">
        <v>7.1815069753745395E-2</v>
      </c>
      <c r="R257" s="1">
        <v>9.7426909277293703</v>
      </c>
      <c r="S257" s="3">
        <v>7.0369491987316914</v>
      </c>
      <c r="T257" s="1">
        <v>114750.27</v>
      </c>
      <c r="U257" s="2">
        <v>45531</v>
      </c>
      <c r="V257" s="10">
        <v>57.42</v>
      </c>
      <c r="W257">
        <v>20</v>
      </c>
      <c r="X257" s="3">
        <v>4.9235565207788863</v>
      </c>
      <c r="Y257" s="7">
        <v>0.10264104726486072</v>
      </c>
      <c r="Z257">
        <v>0.14210703697850099</v>
      </c>
      <c r="AA257"/>
      <c r="AB257"/>
    </row>
    <row r="258" spans="1:28" x14ac:dyDescent="0.3">
      <c r="A258" s="1" t="s">
        <v>273</v>
      </c>
      <c r="B258" s="1" t="s">
        <v>371</v>
      </c>
      <c r="C258" s="2">
        <v>45531</v>
      </c>
      <c r="D258" s="2">
        <v>45432</v>
      </c>
      <c r="E258" s="1" t="s">
        <v>373</v>
      </c>
      <c r="F258" s="1" t="s">
        <v>379</v>
      </c>
      <c r="G258" s="1" t="s">
        <v>384</v>
      </c>
      <c r="H258" s="1" t="s">
        <v>386</v>
      </c>
      <c r="I258">
        <v>36178.31</v>
      </c>
      <c r="J258">
        <v>1354766</v>
      </c>
      <c r="K258">
        <v>22312</v>
      </c>
      <c r="L258">
        <v>1061</v>
      </c>
      <c r="M258">
        <v>121190.48</v>
      </c>
      <c r="N258" s="1" t="s">
        <v>391</v>
      </c>
      <c r="O258">
        <v>7</v>
      </c>
      <c r="P258" s="8">
        <v>1.6469264802925401E-2</v>
      </c>
      <c r="Q258" s="8">
        <v>4.75528863391897E-2</v>
      </c>
      <c r="R258" s="1">
        <v>34.098312912346842</v>
      </c>
      <c r="S258" s="3">
        <v>3.3498104250861913</v>
      </c>
      <c r="T258" s="1">
        <v>85012.17</v>
      </c>
      <c r="U258" s="2">
        <v>45561</v>
      </c>
      <c r="V258" s="10">
        <v>57.09</v>
      </c>
      <c r="W258">
        <v>30</v>
      </c>
      <c r="X258" s="3">
        <v>5.4316278235926854</v>
      </c>
      <c r="Y258" s="7">
        <v>2.9326964139563181E-2</v>
      </c>
      <c r="Z258">
        <v>0.29852435603852701</v>
      </c>
      <c r="AA258"/>
      <c r="AB258"/>
    </row>
    <row r="259" spans="1:28" x14ac:dyDescent="0.3">
      <c r="A259" s="1" t="s">
        <v>274</v>
      </c>
      <c r="B259" s="1" t="s">
        <v>368</v>
      </c>
      <c r="C259" s="2">
        <v>45337</v>
      </c>
      <c r="D259" s="2">
        <v>45425</v>
      </c>
      <c r="E259" s="1" t="s">
        <v>377</v>
      </c>
      <c r="F259" s="1" t="s">
        <v>379</v>
      </c>
      <c r="G259" s="1" t="s">
        <v>383</v>
      </c>
      <c r="H259" s="1" t="s">
        <v>388</v>
      </c>
      <c r="I259">
        <v>46231.839999999997</v>
      </c>
      <c r="J259">
        <v>256402</v>
      </c>
      <c r="K259">
        <v>28840</v>
      </c>
      <c r="L259">
        <v>102</v>
      </c>
      <c r="M259">
        <v>20896.79</v>
      </c>
      <c r="N259" s="1" t="s">
        <v>390</v>
      </c>
      <c r="O259">
        <v>9</v>
      </c>
      <c r="P259" s="8">
        <v>0.112479621843823</v>
      </c>
      <c r="Q259" s="8">
        <v>3.5367545076282901E-3</v>
      </c>
      <c r="R259" s="1">
        <v>453.25333333333327</v>
      </c>
      <c r="S259" s="3">
        <v>0.45199996366140743</v>
      </c>
      <c r="T259" s="1">
        <v>-25335.049999999996</v>
      </c>
      <c r="U259" s="2">
        <v>45425</v>
      </c>
      <c r="V259" s="10">
        <v>15.76</v>
      </c>
      <c r="W259">
        <v>88</v>
      </c>
      <c r="X259" s="3">
        <v>0.72457662968099867</v>
      </c>
      <c r="Y259" s="7">
        <v>2.2062716950050011E-3</v>
      </c>
      <c r="Z259">
        <v>2.21238955839629</v>
      </c>
      <c r="AA259"/>
      <c r="AB259"/>
    </row>
    <row r="260" spans="1:28" x14ac:dyDescent="0.3">
      <c r="A260" s="1" t="s">
        <v>275</v>
      </c>
      <c r="B260" s="1" t="s">
        <v>370</v>
      </c>
      <c r="C260" s="2">
        <v>45326</v>
      </c>
      <c r="D260" s="2">
        <v>45492</v>
      </c>
      <c r="E260" s="1" t="s">
        <v>375</v>
      </c>
      <c r="F260" s="1" t="s">
        <v>379</v>
      </c>
      <c r="G260" s="1" t="s">
        <v>382</v>
      </c>
      <c r="H260" s="1" t="s">
        <v>387</v>
      </c>
      <c r="I260">
        <v>13417.04</v>
      </c>
      <c r="J260">
        <v>1350995</v>
      </c>
      <c r="K260">
        <v>19990</v>
      </c>
      <c r="L260">
        <v>457</v>
      </c>
      <c r="M260">
        <v>79607.009999999995</v>
      </c>
      <c r="N260" s="1" t="s">
        <v>390</v>
      </c>
      <c r="O260">
        <v>5</v>
      </c>
      <c r="P260" s="8">
        <v>1.4796501837534601E-2</v>
      </c>
      <c r="Q260" s="8">
        <v>2.2861430715357699E-2</v>
      </c>
      <c r="R260" s="1">
        <v>29.358949671772432</v>
      </c>
      <c r="S260" s="3">
        <v>5.9332766392587333</v>
      </c>
      <c r="T260" s="1">
        <v>66189.97</v>
      </c>
      <c r="U260" s="2">
        <v>45492</v>
      </c>
      <c r="V260" s="10">
        <v>72.69</v>
      </c>
      <c r="W260">
        <v>166</v>
      </c>
      <c r="X260" s="3">
        <v>3.9823416708354173</v>
      </c>
      <c r="Y260" s="7">
        <v>3.4061164012330586E-2</v>
      </c>
      <c r="Z260">
        <v>0.168540936281868</v>
      </c>
      <c r="AA260"/>
      <c r="AB260"/>
    </row>
    <row r="261" spans="1:28" x14ac:dyDescent="0.3">
      <c r="A261" s="1" t="s">
        <v>276</v>
      </c>
      <c r="B261" s="1" t="s">
        <v>370</v>
      </c>
      <c r="C261" s="2">
        <v>45544</v>
      </c>
      <c r="D261" s="2">
        <v>45454</v>
      </c>
      <c r="E261" s="1" t="s">
        <v>372</v>
      </c>
      <c r="F261" s="1" t="s">
        <v>378</v>
      </c>
      <c r="G261" s="1" t="s">
        <v>382</v>
      </c>
      <c r="H261" s="1" t="s">
        <v>388</v>
      </c>
      <c r="I261">
        <v>25958.14</v>
      </c>
      <c r="J261">
        <v>804105</v>
      </c>
      <c r="K261">
        <v>45179</v>
      </c>
      <c r="L261">
        <v>896</v>
      </c>
      <c r="M261">
        <v>233442.39</v>
      </c>
      <c r="N261" s="1" t="s">
        <v>391</v>
      </c>
      <c r="O261">
        <v>9</v>
      </c>
      <c r="P261" s="8">
        <v>5.6185448417806101E-2</v>
      </c>
      <c r="Q261" s="8">
        <v>1.9832222935434601E-2</v>
      </c>
      <c r="R261" s="1">
        <v>28.971138392857142</v>
      </c>
      <c r="S261" s="3">
        <v>8.9930322434504166</v>
      </c>
      <c r="T261" s="1">
        <v>207484.25</v>
      </c>
      <c r="U261" s="2">
        <v>45574</v>
      </c>
      <c r="V261" s="10">
        <v>15.79</v>
      </c>
      <c r="W261">
        <v>30</v>
      </c>
      <c r="X261" s="3">
        <v>5.1670552690409268</v>
      </c>
      <c r="Y261" s="7">
        <v>3.4517111010264986E-2</v>
      </c>
      <c r="Z261">
        <v>0.111197199446082</v>
      </c>
      <c r="AA261"/>
      <c r="AB261"/>
    </row>
    <row r="262" spans="1:28" x14ac:dyDescent="0.3">
      <c r="A262" s="1" t="s">
        <v>277</v>
      </c>
      <c r="B262" s="1" t="s">
        <v>370</v>
      </c>
      <c r="C262" s="2">
        <v>45373</v>
      </c>
      <c r="D262" s="2">
        <v>45614</v>
      </c>
      <c r="E262" s="1" t="s">
        <v>377</v>
      </c>
      <c r="F262" s="1" t="s">
        <v>380</v>
      </c>
      <c r="G262" s="1" t="s">
        <v>385</v>
      </c>
      <c r="H262" s="1" t="s">
        <v>387</v>
      </c>
      <c r="I262">
        <v>61831.4</v>
      </c>
      <c r="J262">
        <v>1972968</v>
      </c>
      <c r="K262">
        <v>6906</v>
      </c>
      <c r="L262">
        <v>1095</v>
      </c>
      <c r="M262">
        <v>104037.75</v>
      </c>
      <c r="N262" s="1" t="s">
        <v>390</v>
      </c>
      <c r="O262">
        <v>4</v>
      </c>
      <c r="P262" s="8">
        <v>3.5003101925626802E-3</v>
      </c>
      <c r="Q262" s="8">
        <v>0.15855777584708999</v>
      </c>
      <c r="R262" s="1">
        <v>56.467031963470319</v>
      </c>
      <c r="S262" s="3">
        <v>1.682603822653215</v>
      </c>
      <c r="T262" s="1">
        <v>42206.35</v>
      </c>
      <c r="U262" s="2">
        <v>45614</v>
      </c>
      <c r="V262" s="10">
        <v>68.67</v>
      </c>
      <c r="W262">
        <v>241</v>
      </c>
      <c r="X262" s="3">
        <v>15.064834926151173</v>
      </c>
      <c r="Y262" s="7">
        <v>1.7709448597314631E-2</v>
      </c>
      <c r="Z262">
        <v>0.59431696667796097</v>
      </c>
      <c r="AA262"/>
      <c r="AB262"/>
    </row>
    <row r="263" spans="1:28" x14ac:dyDescent="0.3">
      <c r="A263" s="1" t="s">
        <v>278</v>
      </c>
      <c r="B263" s="1" t="s">
        <v>369</v>
      </c>
      <c r="C263" s="2">
        <v>45547</v>
      </c>
      <c r="D263" s="2">
        <v>45448</v>
      </c>
      <c r="E263" s="1" t="s">
        <v>374</v>
      </c>
      <c r="F263" s="1" t="s">
        <v>380</v>
      </c>
      <c r="G263" s="1" t="s">
        <v>385</v>
      </c>
      <c r="H263" s="1" t="s">
        <v>386</v>
      </c>
      <c r="I263">
        <v>74888</v>
      </c>
      <c r="J263">
        <v>899710</v>
      </c>
      <c r="K263">
        <v>49796</v>
      </c>
      <c r="L263">
        <v>1103</v>
      </c>
      <c r="M263">
        <v>141208.12</v>
      </c>
      <c r="N263" s="1" t="s">
        <v>391</v>
      </c>
      <c r="O263">
        <v>9</v>
      </c>
      <c r="P263" s="8">
        <v>5.5346722832912802E-2</v>
      </c>
      <c r="Q263" s="8">
        <v>2.21503735239778E-2</v>
      </c>
      <c r="R263" s="1">
        <v>67.894832275611961</v>
      </c>
      <c r="S263" s="3">
        <v>1.8855907488516184</v>
      </c>
      <c r="T263" s="1">
        <v>66320.12</v>
      </c>
      <c r="U263" s="2">
        <v>45577</v>
      </c>
      <c r="V263" s="10">
        <v>66.27</v>
      </c>
      <c r="W263">
        <v>30</v>
      </c>
      <c r="X263" s="3">
        <v>2.8357321873242829</v>
      </c>
      <c r="Y263" s="7">
        <v>1.4728661467791903E-2</v>
      </c>
      <c r="Z263">
        <v>0.53033777377674896</v>
      </c>
      <c r="AA263"/>
      <c r="AB263"/>
    </row>
    <row r="264" spans="1:28" x14ac:dyDescent="0.3">
      <c r="A264" s="1" t="s">
        <v>279</v>
      </c>
      <c r="B264" s="1" t="s">
        <v>368</v>
      </c>
      <c r="C264" s="2">
        <v>45488</v>
      </c>
      <c r="D264" s="2">
        <v>45427</v>
      </c>
      <c r="E264" s="1" t="s">
        <v>372</v>
      </c>
      <c r="F264" s="1" t="s">
        <v>381</v>
      </c>
      <c r="G264" s="1" t="s">
        <v>383</v>
      </c>
      <c r="H264" s="1" t="s">
        <v>388</v>
      </c>
      <c r="I264">
        <v>99843.01</v>
      </c>
      <c r="J264">
        <v>629365</v>
      </c>
      <c r="K264">
        <v>41379</v>
      </c>
      <c r="L264">
        <v>752</v>
      </c>
      <c r="M264">
        <v>137685.20000000001</v>
      </c>
      <c r="N264" s="1" t="s">
        <v>390</v>
      </c>
      <c r="O264">
        <v>6</v>
      </c>
      <c r="P264" s="8">
        <v>6.5747221405702605E-2</v>
      </c>
      <c r="Q264" s="8">
        <v>1.81734696343556E-2</v>
      </c>
      <c r="R264" s="1">
        <v>132.76996010638297</v>
      </c>
      <c r="S264" s="3">
        <v>1.3790169186606054</v>
      </c>
      <c r="T264" s="1">
        <v>37842.190000000017</v>
      </c>
      <c r="U264" s="2">
        <v>45518</v>
      </c>
      <c r="V264" s="10">
        <v>57.18</v>
      </c>
      <c r="W264">
        <v>30</v>
      </c>
      <c r="X264" s="3">
        <v>3.3274172889630007</v>
      </c>
      <c r="Y264" s="7">
        <v>7.5318242108285798E-3</v>
      </c>
      <c r="Z264">
        <v>0.725154264946414</v>
      </c>
      <c r="AA264"/>
      <c r="AB264"/>
    </row>
    <row r="265" spans="1:28" x14ac:dyDescent="0.3">
      <c r="A265" s="1" t="s">
        <v>280</v>
      </c>
      <c r="B265" s="1" t="s">
        <v>371</v>
      </c>
      <c r="C265" s="2">
        <v>45301</v>
      </c>
      <c r="D265" s="2">
        <v>45413</v>
      </c>
      <c r="E265" s="1" t="s">
        <v>377</v>
      </c>
      <c r="F265" s="1" t="s">
        <v>381</v>
      </c>
      <c r="G265" s="1" t="s">
        <v>382</v>
      </c>
      <c r="H265" s="1" t="s">
        <v>387</v>
      </c>
      <c r="I265">
        <v>93645.77</v>
      </c>
      <c r="J265">
        <v>162782</v>
      </c>
      <c r="K265">
        <v>18297</v>
      </c>
      <c r="L265">
        <v>309</v>
      </c>
      <c r="M265">
        <v>151703.46</v>
      </c>
      <c r="N265" s="1" t="s">
        <v>389</v>
      </c>
      <c r="O265">
        <v>8</v>
      </c>
      <c r="P265" s="8">
        <v>0.112401862613803</v>
      </c>
      <c r="Q265" s="8">
        <v>1.6888014428594798E-2</v>
      </c>
      <c r="R265" s="1">
        <v>303.0607443365696</v>
      </c>
      <c r="S265" s="3">
        <v>1.6199713024944959</v>
      </c>
      <c r="T265" s="1">
        <v>58057.689999999988</v>
      </c>
      <c r="U265" s="2">
        <v>45413</v>
      </c>
      <c r="V265" s="10">
        <v>66.2</v>
      </c>
      <c r="W265">
        <v>112</v>
      </c>
      <c r="X265" s="3">
        <v>8.2911657648794872</v>
      </c>
      <c r="Y265" s="7">
        <v>3.2996685274732642E-3</v>
      </c>
      <c r="Z265">
        <v>0.61729488569344404</v>
      </c>
      <c r="AA265"/>
      <c r="AB265"/>
    </row>
    <row r="266" spans="1:28" x14ac:dyDescent="0.3">
      <c r="A266" s="1" t="s">
        <v>281</v>
      </c>
      <c r="B266" s="1" t="s">
        <v>367</v>
      </c>
      <c r="C266" s="2">
        <v>45577</v>
      </c>
      <c r="D266" s="2">
        <v>45608</v>
      </c>
      <c r="E266" s="1" t="s">
        <v>372</v>
      </c>
      <c r="F266" s="1" t="s">
        <v>378</v>
      </c>
      <c r="G266" s="1" t="s">
        <v>382</v>
      </c>
      <c r="H266" s="1" t="s">
        <v>387</v>
      </c>
      <c r="I266">
        <v>66043.69</v>
      </c>
      <c r="J266">
        <v>1089550</v>
      </c>
      <c r="K266">
        <v>3011</v>
      </c>
      <c r="L266">
        <v>1278</v>
      </c>
      <c r="M266">
        <v>24719.43</v>
      </c>
      <c r="N266" s="1" t="s">
        <v>389</v>
      </c>
      <c r="O266">
        <v>8</v>
      </c>
      <c r="P266" s="8">
        <v>2.7635262264237501E-3</v>
      </c>
      <c r="Q266" s="8">
        <v>0.42444370640983098</v>
      </c>
      <c r="R266" s="1">
        <v>51.677378716744919</v>
      </c>
      <c r="S266" s="3">
        <v>0.37428905017269626</v>
      </c>
      <c r="T266" s="1">
        <v>-41324.26</v>
      </c>
      <c r="U266" s="2">
        <v>45608</v>
      </c>
      <c r="V266" s="10">
        <v>46.73</v>
      </c>
      <c r="W266">
        <v>31</v>
      </c>
      <c r="X266" s="3">
        <v>8.2097077382929253</v>
      </c>
      <c r="Y266" s="7">
        <v>1.935082670274783E-2</v>
      </c>
      <c r="Z266">
        <v>2.6717319129122301</v>
      </c>
      <c r="AA266"/>
      <c r="AB266"/>
    </row>
    <row r="267" spans="1:28" x14ac:dyDescent="0.3">
      <c r="A267" s="1" t="s">
        <v>282</v>
      </c>
      <c r="B267" s="1" t="s">
        <v>371</v>
      </c>
      <c r="C267" s="2">
        <v>45533</v>
      </c>
      <c r="D267" s="2">
        <v>45372</v>
      </c>
      <c r="E267" s="1" t="s">
        <v>375</v>
      </c>
      <c r="F267" s="1" t="s">
        <v>380</v>
      </c>
      <c r="G267" s="1" t="s">
        <v>385</v>
      </c>
      <c r="H267" s="1" t="s">
        <v>386</v>
      </c>
      <c r="I267">
        <v>45018.57</v>
      </c>
      <c r="J267">
        <v>677220</v>
      </c>
      <c r="K267">
        <v>45014</v>
      </c>
      <c r="L267">
        <v>1132</v>
      </c>
      <c r="M267">
        <v>96922.3</v>
      </c>
      <c r="N267" s="1" t="s">
        <v>390</v>
      </c>
      <c r="O267">
        <v>9</v>
      </c>
      <c r="P267" s="8">
        <v>6.6468798913203994E-2</v>
      </c>
      <c r="Q267" s="8">
        <v>2.5147731816768101E-2</v>
      </c>
      <c r="R267" s="1">
        <v>39.769054770318021</v>
      </c>
      <c r="S267" s="3">
        <v>2.1529404421331022</v>
      </c>
      <c r="T267" s="1">
        <v>51903.73</v>
      </c>
      <c r="U267" s="2">
        <v>45563</v>
      </c>
      <c r="V267" s="10">
        <v>41.43</v>
      </c>
      <c r="W267">
        <v>30</v>
      </c>
      <c r="X267" s="3">
        <v>2.1531590171946506</v>
      </c>
      <c r="Y267" s="7">
        <v>2.5145178978363818E-2</v>
      </c>
      <c r="Z267">
        <v>0.46448103274478603</v>
      </c>
      <c r="AA267"/>
      <c r="AB267"/>
    </row>
    <row r="268" spans="1:28" x14ac:dyDescent="0.3">
      <c r="A268" s="1" t="s">
        <v>283</v>
      </c>
      <c r="B268" s="1" t="s">
        <v>367</v>
      </c>
      <c r="C268" s="2">
        <v>45542</v>
      </c>
      <c r="D268" s="2">
        <v>45350</v>
      </c>
      <c r="E268" s="1" t="s">
        <v>374</v>
      </c>
      <c r="F268" s="1" t="s">
        <v>380</v>
      </c>
      <c r="G268" s="1" t="s">
        <v>382</v>
      </c>
      <c r="H268" s="1" t="s">
        <v>388</v>
      </c>
      <c r="I268">
        <v>65436.85</v>
      </c>
      <c r="J268">
        <v>1061316</v>
      </c>
      <c r="K268">
        <v>47558</v>
      </c>
      <c r="L268">
        <v>1544</v>
      </c>
      <c r="M268">
        <v>183550.79</v>
      </c>
      <c r="N268" s="1" t="s">
        <v>391</v>
      </c>
      <c r="O268">
        <v>5</v>
      </c>
      <c r="P268" s="8">
        <v>4.4810405195059702E-2</v>
      </c>
      <c r="Q268" s="8">
        <v>3.24656209260272E-2</v>
      </c>
      <c r="R268" s="1">
        <v>42.381379533678754</v>
      </c>
      <c r="S268" s="3">
        <v>2.805006506272842</v>
      </c>
      <c r="T268" s="1">
        <v>118113.94</v>
      </c>
      <c r="U268" s="2">
        <v>45572</v>
      </c>
      <c r="V268" s="10">
        <v>26.67</v>
      </c>
      <c r="W268">
        <v>30</v>
      </c>
      <c r="X268" s="3">
        <v>3.8595144875730689</v>
      </c>
      <c r="Y268" s="7">
        <v>2.3595267803997289E-2</v>
      </c>
      <c r="Z268">
        <v>0.356505411935301</v>
      </c>
      <c r="AA268"/>
      <c r="AB268"/>
    </row>
    <row r="269" spans="1:28" x14ac:dyDescent="0.3">
      <c r="A269" s="1" t="s">
        <v>284</v>
      </c>
      <c r="B269" s="1" t="s">
        <v>371</v>
      </c>
      <c r="C269" s="2">
        <v>45296</v>
      </c>
      <c r="D269" s="2">
        <v>45617</v>
      </c>
      <c r="E269" s="1" t="s">
        <v>375</v>
      </c>
      <c r="F269" s="1" t="s">
        <v>379</v>
      </c>
      <c r="G269" s="1" t="s">
        <v>382</v>
      </c>
      <c r="H269" s="1" t="s">
        <v>388</v>
      </c>
      <c r="I269">
        <v>79636.899999999994</v>
      </c>
      <c r="J269">
        <v>493316</v>
      </c>
      <c r="K269">
        <v>12738</v>
      </c>
      <c r="L269">
        <v>825</v>
      </c>
      <c r="M269">
        <v>58134.46</v>
      </c>
      <c r="N269" s="1" t="s">
        <v>389</v>
      </c>
      <c r="O269">
        <v>5</v>
      </c>
      <c r="P269" s="8">
        <v>2.58211775008311E-2</v>
      </c>
      <c r="Q269" s="8">
        <v>6.4766839378238295E-2</v>
      </c>
      <c r="R269" s="1">
        <v>96.529575757575756</v>
      </c>
      <c r="S269" s="3">
        <v>0.7299940103143141</v>
      </c>
      <c r="T269" s="1">
        <v>-21502.439999999995</v>
      </c>
      <c r="U269" s="2">
        <v>45617</v>
      </c>
      <c r="V269" s="10">
        <v>21.95</v>
      </c>
      <c r="W269">
        <v>321</v>
      </c>
      <c r="X269" s="3">
        <v>4.5638608886795415</v>
      </c>
      <c r="Y269" s="7">
        <v>1.035951926807799E-2</v>
      </c>
      <c r="Z269">
        <v>1.36987425358385</v>
      </c>
      <c r="AA269"/>
      <c r="AB269"/>
    </row>
    <row r="270" spans="1:28" x14ac:dyDescent="0.3">
      <c r="A270" s="1" t="s">
        <v>285</v>
      </c>
      <c r="B270" s="1" t="s">
        <v>368</v>
      </c>
      <c r="C270" s="2">
        <v>45410</v>
      </c>
      <c r="D270" s="2">
        <v>45618</v>
      </c>
      <c r="E270" s="1" t="s">
        <v>374</v>
      </c>
      <c r="F270" s="1" t="s">
        <v>378</v>
      </c>
      <c r="G270" s="1" t="s">
        <v>382</v>
      </c>
      <c r="H270" s="1" t="s">
        <v>388</v>
      </c>
      <c r="I270">
        <v>16241.94</v>
      </c>
      <c r="J270">
        <v>1470589</v>
      </c>
      <c r="K270">
        <v>29797</v>
      </c>
      <c r="L270">
        <v>1539</v>
      </c>
      <c r="M270">
        <v>58858.81</v>
      </c>
      <c r="N270" s="1" t="s">
        <v>391</v>
      </c>
      <c r="O270">
        <v>6</v>
      </c>
      <c r="P270" s="8">
        <v>2.0261949463786299E-2</v>
      </c>
      <c r="Q270" s="8">
        <v>5.1649494915595499E-2</v>
      </c>
      <c r="R270" s="1">
        <v>10.553567251461988</v>
      </c>
      <c r="S270" s="3">
        <v>3.6238780589018305</v>
      </c>
      <c r="T270" s="1">
        <v>42616.869999999995</v>
      </c>
      <c r="U270" s="2">
        <v>45618</v>
      </c>
      <c r="V270" s="10">
        <v>78.27</v>
      </c>
      <c r="W270">
        <v>208</v>
      </c>
      <c r="X270" s="3">
        <v>1.9753267107426922</v>
      </c>
      <c r="Y270" s="7">
        <v>9.4754690634246894E-2</v>
      </c>
      <c r="Z270">
        <v>0.27594747498292999</v>
      </c>
      <c r="AA270"/>
      <c r="AB270"/>
    </row>
    <row r="271" spans="1:28" x14ac:dyDescent="0.3">
      <c r="A271" s="1" t="s">
        <v>286</v>
      </c>
      <c r="B271" s="1" t="s">
        <v>367</v>
      </c>
      <c r="C271" s="2">
        <v>45580</v>
      </c>
      <c r="D271" s="2">
        <v>45535</v>
      </c>
      <c r="E271" s="1" t="s">
        <v>376</v>
      </c>
      <c r="F271" s="1" t="s">
        <v>378</v>
      </c>
      <c r="G271" s="1" t="s">
        <v>385</v>
      </c>
      <c r="H271" s="1" t="s">
        <v>386</v>
      </c>
      <c r="I271">
        <v>43940.959999999999</v>
      </c>
      <c r="J271">
        <v>1409501</v>
      </c>
      <c r="K271">
        <v>48498</v>
      </c>
      <c r="L271">
        <v>1085</v>
      </c>
      <c r="M271">
        <v>12421.75</v>
      </c>
      <c r="N271" s="1" t="s">
        <v>390</v>
      </c>
      <c r="O271">
        <v>4</v>
      </c>
      <c r="P271" s="8">
        <v>3.4407921668732397E-2</v>
      </c>
      <c r="Q271" s="8">
        <v>2.2372056579652799E-2</v>
      </c>
      <c r="R271" s="1">
        <v>40.49858064516129</v>
      </c>
      <c r="S271" s="3">
        <v>0.28269182102530305</v>
      </c>
      <c r="T271" s="1">
        <v>-31519.21</v>
      </c>
      <c r="U271" s="2">
        <v>45610</v>
      </c>
      <c r="V271" s="10">
        <v>50.82</v>
      </c>
      <c r="W271">
        <v>30</v>
      </c>
      <c r="X271" s="3">
        <v>0.25612911872654542</v>
      </c>
      <c r="Y271" s="7">
        <v>2.469222338337624E-2</v>
      </c>
      <c r="Z271">
        <v>3.5374210558093702</v>
      </c>
      <c r="AA271"/>
      <c r="AB271"/>
    </row>
    <row r="272" spans="1:28" x14ac:dyDescent="0.3">
      <c r="A272" s="1" t="s">
        <v>287</v>
      </c>
      <c r="B272" s="1" t="s">
        <v>369</v>
      </c>
      <c r="C272" s="2">
        <v>45356</v>
      </c>
      <c r="D272" s="2">
        <v>45588</v>
      </c>
      <c r="E272" s="1" t="s">
        <v>377</v>
      </c>
      <c r="F272" s="1" t="s">
        <v>379</v>
      </c>
      <c r="G272" s="1" t="s">
        <v>383</v>
      </c>
      <c r="H272" s="1" t="s">
        <v>388</v>
      </c>
      <c r="I272">
        <v>84781.22</v>
      </c>
      <c r="J272">
        <v>1284915</v>
      </c>
      <c r="K272">
        <v>12120</v>
      </c>
      <c r="L272">
        <v>1704</v>
      </c>
      <c r="M272">
        <v>114995.66</v>
      </c>
      <c r="N272" s="1" t="s">
        <v>391</v>
      </c>
      <c r="O272">
        <v>9</v>
      </c>
      <c r="P272" s="8">
        <v>9.4325305564959602E-3</v>
      </c>
      <c r="Q272" s="8">
        <v>0.140594059405941</v>
      </c>
      <c r="R272" s="1">
        <v>49.754237089201879</v>
      </c>
      <c r="S272" s="3">
        <v>1.3563812834965103</v>
      </c>
      <c r="T272" s="1">
        <v>30214.440000000002</v>
      </c>
      <c r="U272" s="2">
        <v>45588</v>
      </c>
      <c r="V272" s="10">
        <v>14.63</v>
      </c>
      <c r="W272">
        <v>232</v>
      </c>
      <c r="X272" s="3">
        <v>9.4880907590759076</v>
      </c>
      <c r="Y272" s="7">
        <v>2.0098790746346892E-2</v>
      </c>
      <c r="Z272">
        <v>0.73725582339368301</v>
      </c>
      <c r="AA272"/>
      <c r="AB272"/>
    </row>
    <row r="273" spans="1:28" x14ac:dyDescent="0.3">
      <c r="A273" s="1" t="s">
        <v>288</v>
      </c>
      <c r="B273" s="1" t="s">
        <v>371</v>
      </c>
      <c r="C273" s="2">
        <v>45437</v>
      </c>
      <c r="D273" s="2">
        <v>45578</v>
      </c>
      <c r="E273" s="1" t="s">
        <v>374</v>
      </c>
      <c r="F273" s="1" t="s">
        <v>378</v>
      </c>
      <c r="G273" s="1" t="s">
        <v>384</v>
      </c>
      <c r="H273" s="1" t="s">
        <v>386</v>
      </c>
      <c r="I273">
        <v>41464.129999999997</v>
      </c>
      <c r="J273">
        <v>525595</v>
      </c>
      <c r="K273">
        <v>9767</v>
      </c>
      <c r="L273">
        <v>1363</v>
      </c>
      <c r="M273">
        <v>221856.25</v>
      </c>
      <c r="N273" s="1" t="s">
        <v>389</v>
      </c>
      <c r="O273">
        <v>8</v>
      </c>
      <c r="P273" s="8">
        <v>1.8582749074858001E-2</v>
      </c>
      <c r="Q273" s="8">
        <v>0.13955155114159901</v>
      </c>
      <c r="R273" s="1">
        <v>30.421225238444606</v>
      </c>
      <c r="S273" s="3">
        <v>5.3505584224243945</v>
      </c>
      <c r="T273" s="1">
        <v>180392.12</v>
      </c>
      <c r="U273" s="2">
        <v>45578</v>
      </c>
      <c r="V273" s="10">
        <v>38.78</v>
      </c>
      <c r="W273">
        <v>141</v>
      </c>
      <c r="X273" s="3">
        <v>22.714881744650352</v>
      </c>
      <c r="Y273" s="7">
        <v>3.2871785806189595E-2</v>
      </c>
      <c r="Z273">
        <v>0.18689637997577299</v>
      </c>
      <c r="AA273"/>
      <c r="AB273"/>
    </row>
    <row r="274" spans="1:28" x14ac:dyDescent="0.3">
      <c r="A274" s="1" t="s">
        <v>289</v>
      </c>
      <c r="B274" s="1" t="s">
        <v>371</v>
      </c>
      <c r="C274" s="2">
        <v>45515</v>
      </c>
      <c r="D274" s="2">
        <v>45422</v>
      </c>
      <c r="E274" s="1" t="s">
        <v>375</v>
      </c>
      <c r="F274" s="1" t="s">
        <v>378</v>
      </c>
      <c r="G274" s="1" t="s">
        <v>383</v>
      </c>
      <c r="H274" s="1" t="s">
        <v>386</v>
      </c>
      <c r="I274">
        <v>59327.87</v>
      </c>
      <c r="J274">
        <v>1515744</v>
      </c>
      <c r="K274">
        <v>23852</v>
      </c>
      <c r="L274">
        <v>899</v>
      </c>
      <c r="M274">
        <v>22456.23</v>
      </c>
      <c r="N274" s="1" t="s">
        <v>391</v>
      </c>
      <c r="O274">
        <v>9</v>
      </c>
      <c r="P274" s="8">
        <v>1.57361665294403E-2</v>
      </c>
      <c r="Q274" s="8">
        <v>3.7690759684722498E-2</v>
      </c>
      <c r="R274" s="1">
        <v>65.993181312569519</v>
      </c>
      <c r="S274" s="3">
        <v>0.37851063926616613</v>
      </c>
      <c r="T274" s="1">
        <v>-36871.64</v>
      </c>
      <c r="U274" s="2">
        <v>45545</v>
      </c>
      <c r="V274" s="10">
        <v>10.72</v>
      </c>
      <c r="W274">
        <v>30</v>
      </c>
      <c r="X274" s="3">
        <v>0.94148205601207446</v>
      </c>
      <c r="Y274" s="7">
        <v>1.5153080668495262E-2</v>
      </c>
      <c r="Z274">
        <v>2.6419336638429498</v>
      </c>
      <c r="AA274"/>
      <c r="AB274"/>
    </row>
    <row r="275" spans="1:28" x14ac:dyDescent="0.3">
      <c r="A275" s="1" t="s">
        <v>290</v>
      </c>
      <c r="B275" s="1" t="s">
        <v>367</v>
      </c>
      <c r="C275" s="2">
        <v>45530</v>
      </c>
      <c r="D275" s="2">
        <v>45431</v>
      </c>
      <c r="E275" s="1" t="s">
        <v>372</v>
      </c>
      <c r="F275" s="1" t="s">
        <v>381</v>
      </c>
      <c r="G275" s="1" t="s">
        <v>384</v>
      </c>
      <c r="H275" s="1" t="s">
        <v>386</v>
      </c>
      <c r="I275">
        <v>60838.09</v>
      </c>
      <c r="J275">
        <v>1938806</v>
      </c>
      <c r="K275">
        <v>14703</v>
      </c>
      <c r="L275">
        <v>1833</v>
      </c>
      <c r="M275">
        <v>55868.49</v>
      </c>
      <c r="N275" s="1" t="s">
        <v>391</v>
      </c>
      <c r="O275">
        <v>6</v>
      </c>
      <c r="P275" s="8">
        <v>7.5835333705383604E-3</v>
      </c>
      <c r="Q275" s="8">
        <v>0.124668435013263</v>
      </c>
      <c r="R275" s="1">
        <v>33.190447354064375</v>
      </c>
      <c r="S275" s="3">
        <v>0.9183143323533004</v>
      </c>
      <c r="T275" s="1">
        <v>-4969.5999999999985</v>
      </c>
      <c r="U275" s="2">
        <v>45560</v>
      </c>
      <c r="V275" s="10">
        <v>35.299999999999997</v>
      </c>
      <c r="W275">
        <v>30</v>
      </c>
      <c r="X275" s="3">
        <v>3.7998020812079165</v>
      </c>
      <c r="Y275" s="7">
        <v>3.0129150997343937E-2</v>
      </c>
      <c r="Z275">
        <v>1.08895175079906</v>
      </c>
      <c r="AA275"/>
      <c r="AB275"/>
    </row>
    <row r="276" spans="1:28" x14ac:dyDescent="0.3">
      <c r="A276" s="1" t="s">
        <v>291</v>
      </c>
      <c r="B276" s="1" t="s">
        <v>369</v>
      </c>
      <c r="C276" s="2">
        <v>45468</v>
      </c>
      <c r="D276" s="2">
        <v>45503</v>
      </c>
      <c r="E276" s="1" t="s">
        <v>374</v>
      </c>
      <c r="F276" s="1" t="s">
        <v>380</v>
      </c>
      <c r="G276" s="1" t="s">
        <v>382</v>
      </c>
      <c r="H276" s="1" t="s">
        <v>387</v>
      </c>
      <c r="I276">
        <v>22525.24</v>
      </c>
      <c r="J276">
        <v>1197272</v>
      </c>
      <c r="K276">
        <v>1929</v>
      </c>
      <c r="L276">
        <v>403</v>
      </c>
      <c r="M276">
        <v>84420.29</v>
      </c>
      <c r="N276" s="1" t="s">
        <v>390</v>
      </c>
      <c r="O276">
        <v>7</v>
      </c>
      <c r="P276" s="8">
        <v>1.6111627098938301E-3</v>
      </c>
      <c r="Q276" s="8">
        <v>0.20891653706583699</v>
      </c>
      <c r="R276" s="1">
        <v>55.893895781637724</v>
      </c>
      <c r="S276" s="3">
        <v>3.7478086803958575</v>
      </c>
      <c r="T276" s="1">
        <v>61895.049999999988</v>
      </c>
      <c r="U276" s="2">
        <v>45503</v>
      </c>
      <c r="V276" s="10">
        <v>44.03</v>
      </c>
      <c r="W276">
        <v>35</v>
      </c>
      <c r="X276" s="3">
        <v>43.763758424053911</v>
      </c>
      <c r="Y276" s="7">
        <v>1.789104133851626E-2</v>
      </c>
      <c r="Z276">
        <v>0.26682258494966099</v>
      </c>
      <c r="AA276"/>
      <c r="AB276"/>
    </row>
    <row r="277" spans="1:28" x14ac:dyDescent="0.3">
      <c r="A277" s="1" t="s">
        <v>292</v>
      </c>
      <c r="B277" s="1" t="s">
        <v>369</v>
      </c>
      <c r="C277" s="2">
        <v>45558</v>
      </c>
      <c r="D277" s="2">
        <v>45322</v>
      </c>
      <c r="E277" s="1" t="s">
        <v>377</v>
      </c>
      <c r="F277" s="1" t="s">
        <v>378</v>
      </c>
      <c r="G277" s="1" t="s">
        <v>383</v>
      </c>
      <c r="H277" s="1" t="s">
        <v>388</v>
      </c>
      <c r="I277">
        <v>39412.370000000003</v>
      </c>
      <c r="J277">
        <v>1602226</v>
      </c>
      <c r="K277">
        <v>12951</v>
      </c>
      <c r="L277">
        <v>1712</v>
      </c>
      <c r="M277">
        <v>185613.94</v>
      </c>
      <c r="N277" s="1" t="s">
        <v>390</v>
      </c>
      <c r="O277">
        <v>7</v>
      </c>
      <c r="P277" s="8">
        <v>8.0831293462969595E-3</v>
      </c>
      <c r="Q277" s="8">
        <v>0.13219056443517899</v>
      </c>
      <c r="R277" s="1">
        <v>23.021244158878506</v>
      </c>
      <c r="S277" s="3">
        <v>4.7095351028116301</v>
      </c>
      <c r="T277" s="1">
        <v>146201.57</v>
      </c>
      <c r="U277" s="2">
        <v>45588</v>
      </c>
      <c r="V277" s="10">
        <v>37.450000000000003</v>
      </c>
      <c r="W277">
        <v>30</v>
      </c>
      <c r="X277" s="3">
        <v>14.332016060535866</v>
      </c>
      <c r="Y277" s="7">
        <v>4.3438138838136346E-2</v>
      </c>
      <c r="Z277">
        <v>0.21233518344581201</v>
      </c>
      <c r="AA277"/>
      <c r="AB277"/>
    </row>
    <row r="278" spans="1:28" x14ac:dyDescent="0.3">
      <c r="A278" s="1" t="s">
        <v>293</v>
      </c>
      <c r="B278" s="1" t="s">
        <v>368</v>
      </c>
      <c r="C278" s="2">
        <v>45573</v>
      </c>
      <c r="D278" s="2">
        <v>45376</v>
      </c>
      <c r="E278" s="1" t="s">
        <v>374</v>
      </c>
      <c r="F278" s="1" t="s">
        <v>381</v>
      </c>
      <c r="G278" s="1" t="s">
        <v>384</v>
      </c>
      <c r="H278" s="1" t="s">
        <v>388</v>
      </c>
      <c r="I278">
        <v>36778.57</v>
      </c>
      <c r="J278">
        <v>100939</v>
      </c>
      <c r="K278">
        <v>27039</v>
      </c>
      <c r="L278">
        <v>1148</v>
      </c>
      <c r="M278">
        <v>163752.54</v>
      </c>
      <c r="N278" s="1" t="s">
        <v>390</v>
      </c>
      <c r="O278">
        <v>6</v>
      </c>
      <c r="P278" s="8">
        <v>0.26787465697104201</v>
      </c>
      <c r="Q278" s="8">
        <v>4.24571914641814E-2</v>
      </c>
      <c r="R278" s="1">
        <v>32.037081881533098</v>
      </c>
      <c r="S278" s="3">
        <v>4.4523900738935751</v>
      </c>
      <c r="T278" s="1">
        <v>126973.97</v>
      </c>
      <c r="U278" s="2">
        <v>45603</v>
      </c>
      <c r="V278" s="10">
        <v>19.89</v>
      </c>
      <c r="W278">
        <v>30</v>
      </c>
      <c r="X278" s="3">
        <v>6.0561611006324201</v>
      </c>
      <c r="Y278" s="7">
        <v>3.1213829140175925E-2</v>
      </c>
      <c r="Z278">
        <v>0.224598470350445</v>
      </c>
      <c r="AA278"/>
      <c r="AB278"/>
    </row>
    <row r="279" spans="1:28" x14ac:dyDescent="0.3">
      <c r="A279" s="1" t="s">
        <v>294</v>
      </c>
      <c r="B279" s="1" t="s">
        <v>369</v>
      </c>
      <c r="C279" s="2">
        <v>45354</v>
      </c>
      <c r="D279" s="2">
        <v>45470</v>
      </c>
      <c r="E279" s="1" t="s">
        <v>373</v>
      </c>
      <c r="F279" s="1" t="s">
        <v>380</v>
      </c>
      <c r="G279" s="1" t="s">
        <v>385</v>
      </c>
      <c r="H279" s="1" t="s">
        <v>386</v>
      </c>
      <c r="I279">
        <v>7488.69</v>
      </c>
      <c r="J279">
        <v>1914524</v>
      </c>
      <c r="K279">
        <v>49613</v>
      </c>
      <c r="L279">
        <v>922</v>
      </c>
      <c r="M279">
        <v>109826.54</v>
      </c>
      <c r="N279" s="1" t="s">
        <v>389</v>
      </c>
      <c r="O279">
        <v>8</v>
      </c>
      <c r="P279" s="8">
        <v>2.5914013091504699E-2</v>
      </c>
      <c r="Q279" s="8">
        <v>1.85838389131881E-2</v>
      </c>
      <c r="R279" s="1">
        <v>8.1222234273318872</v>
      </c>
      <c r="S279" s="3">
        <v>14.665654473612875</v>
      </c>
      <c r="T279" s="1">
        <v>102337.84999999999</v>
      </c>
      <c r="U279" s="2">
        <v>45470</v>
      </c>
      <c r="V279" s="10">
        <v>61.62</v>
      </c>
      <c r="W279">
        <v>116</v>
      </c>
      <c r="X279" s="3">
        <v>2.2136645637232175</v>
      </c>
      <c r="Y279" s="7">
        <v>0.1231189967804783</v>
      </c>
      <c r="Z279">
        <v>6.8186523949493399E-2</v>
      </c>
      <c r="AA279"/>
      <c r="AB279"/>
    </row>
    <row r="280" spans="1:28" x14ac:dyDescent="0.3">
      <c r="A280" s="1" t="s">
        <v>295</v>
      </c>
      <c r="B280" s="1" t="s">
        <v>369</v>
      </c>
      <c r="C280" s="2">
        <v>45508</v>
      </c>
      <c r="D280" s="2">
        <v>45458</v>
      </c>
      <c r="E280" s="1" t="s">
        <v>372</v>
      </c>
      <c r="F280" s="1" t="s">
        <v>379</v>
      </c>
      <c r="G280" s="1" t="s">
        <v>385</v>
      </c>
      <c r="H280" s="1" t="s">
        <v>386</v>
      </c>
      <c r="I280">
        <v>7298.22</v>
      </c>
      <c r="J280">
        <v>1810462</v>
      </c>
      <c r="K280">
        <v>30504</v>
      </c>
      <c r="L280">
        <v>1789</v>
      </c>
      <c r="M280">
        <v>192176.55</v>
      </c>
      <c r="N280" s="1" t="s">
        <v>389</v>
      </c>
      <c r="O280">
        <v>6</v>
      </c>
      <c r="P280" s="8">
        <v>1.6848738056915901E-2</v>
      </c>
      <c r="Q280" s="8">
        <v>5.8648046157880898E-2</v>
      </c>
      <c r="R280" s="1">
        <v>4.0794969256567919</v>
      </c>
      <c r="S280" s="3">
        <v>26.331975467990823</v>
      </c>
      <c r="T280" s="1">
        <v>184878.33</v>
      </c>
      <c r="U280" s="2">
        <v>45538</v>
      </c>
      <c r="V280" s="10">
        <v>34.159999999999997</v>
      </c>
      <c r="W280">
        <v>30</v>
      </c>
      <c r="X280" s="3">
        <v>6.3000442564909518</v>
      </c>
      <c r="Y280" s="7">
        <v>0.24512826415208092</v>
      </c>
      <c r="Z280">
        <v>3.7976641791103001E-2</v>
      </c>
      <c r="AA280"/>
      <c r="AB280"/>
    </row>
    <row r="281" spans="1:28" x14ac:dyDescent="0.3">
      <c r="A281" s="1" t="s">
        <v>296</v>
      </c>
      <c r="B281" s="1" t="s">
        <v>369</v>
      </c>
      <c r="C281" s="2">
        <v>45574</v>
      </c>
      <c r="D281" s="2">
        <v>45523</v>
      </c>
      <c r="E281" s="1" t="s">
        <v>377</v>
      </c>
      <c r="F281" s="1" t="s">
        <v>381</v>
      </c>
      <c r="G281" s="1" t="s">
        <v>383</v>
      </c>
      <c r="H281" s="1" t="s">
        <v>388</v>
      </c>
      <c r="I281">
        <v>84011.22</v>
      </c>
      <c r="J281">
        <v>191521</v>
      </c>
      <c r="K281">
        <v>18438</v>
      </c>
      <c r="L281">
        <v>1634</v>
      </c>
      <c r="M281">
        <v>156311.44</v>
      </c>
      <c r="N281" s="1" t="s">
        <v>390</v>
      </c>
      <c r="O281">
        <v>8</v>
      </c>
      <c r="P281" s="8">
        <v>9.6271427154202394E-2</v>
      </c>
      <c r="Q281" s="8">
        <v>8.8621325523375594E-2</v>
      </c>
      <c r="R281" s="1">
        <v>51.414455324357405</v>
      </c>
      <c r="S281" s="3">
        <v>1.8606019529296205</v>
      </c>
      <c r="T281" s="1">
        <v>72300.22</v>
      </c>
      <c r="U281" s="2">
        <v>45604</v>
      </c>
      <c r="V281" s="10">
        <v>21.51</v>
      </c>
      <c r="W281">
        <v>30</v>
      </c>
      <c r="X281" s="3">
        <v>8.4776787070181143</v>
      </c>
      <c r="Y281" s="7">
        <v>1.9449783017077955E-2</v>
      </c>
      <c r="Z281">
        <v>0.53746046994385099</v>
      </c>
      <c r="AA281"/>
      <c r="AB281"/>
    </row>
    <row r="282" spans="1:28" x14ac:dyDescent="0.3">
      <c r="A282" s="1" t="s">
        <v>297</v>
      </c>
      <c r="B282" s="1" t="s">
        <v>370</v>
      </c>
      <c r="C282" s="2">
        <v>45468</v>
      </c>
      <c r="D282" s="2">
        <v>45438</v>
      </c>
      <c r="E282" s="1" t="s">
        <v>377</v>
      </c>
      <c r="F282" s="1" t="s">
        <v>381</v>
      </c>
      <c r="G282" s="1" t="s">
        <v>383</v>
      </c>
      <c r="H282" s="1" t="s">
        <v>386</v>
      </c>
      <c r="I282">
        <v>30941.73</v>
      </c>
      <c r="J282">
        <v>1673154</v>
      </c>
      <c r="K282">
        <v>49515</v>
      </c>
      <c r="L282">
        <v>1664</v>
      </c>
      <c r="M282">
        <v>225049.79</v>
      </c>
      <c r="N282" s="1" t="s">
        <v>390</v>
      </c>
      <c r="O282">
        <v>5</v>
      </c>
      <c r="P282" s="8">
        <v>2.9593809057624099E-2</v>
      </c>
      <c r="Q282" s="8">
        <v>3.3605977986468798E-2</v>
      </c>
      <c r="R282" s="1">
        <v>18.594789663461537</v>
      </c>
      <c r="S282" s="3">
        <v>7.2733421822244591</v>
      </c>
      <c r="T282" s="1">
        <v>194108.06</v>
      </c>
      <c r="U282" s="2">
        <v>45498</v>
      </c>
      <c r="V282" s="10">
        <v>39.630000000000003</v>
      </c>
      <c r="W282">
        <v>30</v>
      </c>
      <c r="X282" s="3">
        <v>4.5450831061294563</v>
      </c>
      <c r="Y282" s="7">
        <v>5.3778505597456901E-2</v>
      </c>
      <c r="Z282">
        <v>0.13748837535018399</v>
      </c>
      <c r="AA282"/>
      <c r="AB282"/>
    </row>
    <row r="283" spans="1:28" x14ac:dyDescent="0.3">
      <c r="A283" s="1" t="s">
        <v>298</v>
      </c>
      <c r="B283" s="1" t="s">
        <v>368</v>
      </c>
      <c r="C283" s="2">
        <v>45389</v>
      </c>
      <c r="D283" s="2">
        <v>45475</v>
      </c>
      <c r="E283" s="1" t="s">
        <v>376</v>
      </c>
      <c r="F283" s="1" t="s">
        <v>380</v>
      </c>
      <c r="G283" s="1" t="s">
        <v>382</v>
      </c>
      <c r="H283" s="1" t="s">
        <v>388</v>
      </c>
      <c r="I283">
        <v>54217.48</v>
      </c>
      <c r="J283">
        <v>923093</v>
      </c>
      <c r="K283">
        <v>6744</v>
      </c>
      <c r="L283">
        <v>1514</v>
      </c>
      <c r="M283">
        <v>206326.42</v>
      </c>
      <c r="N283" s="1" t="s">
        <v>389</v>
      </c>
      <c r="O283">
        <v>6</v>
      </c>
      <c r="P283" s="8">
        <v>7.3058727560494996E-3</v>
      </c>
      <c r="Q283" s="8">
        <v>0.224495848161329</v>
      </c>
      <c r="R283" s="1">
        <v>35.810752972258918</v>
      </c>
      <c r="S283" s="3">
        <v>3.8055331970427249</v>
      </c>
      <c r="T283" s="1">
        <v>152108.94</v>
      </c>
      <c r="U283" s="2">
        <v>45475</v>
      </c>
      <c r="V283" s="10">
        <v>60.75</v>
      </c>
      <c r="W283">
        <v>86</v>
      </c>
      <c r="X283" s="3">
        <v>30.594071767497038</v>
      </c>
      <c r="Y283" s="7">
        <v>2.7924573403264038E-2</v>
      </c>
      <c r="Z283">
        <v>0.262775266492774</v>
      </c>
      <c r="AA283"/>
      <c r="AB283"/>
    </row>
    <row r="284" spans="1:28" x14ac:dyDescent="0.3">
      <c r="A284" s="1" t="s">
        <v>299</v>
      </c>
      <c r="B284" s="1" t="s">
        <v>371</v>
      </c>
      <c r="C284" s="2">
        <v>45396</v>
      </c>
      <c r="D284" s="2">
        <v>45612</v>
      </c>
      <c r="E284" s="1" t="s">
        <v>375</v>
      </c>
      <c r="F284" s="1" t="s">
        <v>379</v>
      </c>
      <c r="G284" s="1" t="s">
        <v>383</v>
      </c>
      <c r="H284" s="1" t="s">
        <v>387</v>
      </c>
      <c r="I284">
        <v>33378.93</v>
      </c>
      <c r="J284">
        <v>1433674</v>
      </c>
      <c r="K284">
        <v>19284</v>
      </c>
      <c r="L284">
        <v>1040</v>
      </c>
      <c r="M284">
        <v>70675.27</v>
      </c>
      <c r="N284" s="1" t="s">
        <v>389</v>
      </c>
      <c r="O284">
        <v>8</v>
      </c>
      <c r="P284" s="8">
        <v>1.3450756587620301E-2</v>
      </c>
      <c r="Q284" s="8">
        <v>5.3930719767683002E-2</v>
      </c>
      <c r="R284" s="1">
        <v>32.095125000000003</v>
      </c>
      <c r="S284" s="3">
        <v>2.117361760847337</v>
      </c>
      <c r="T284" s="1">
        <v>37296.340000000004</v>
      </c>
      <c r="U284" s="2">
        <v>45612</v>
      </c>
      <c r="V284" s="10">
        <v>62.77</v>
      </c>
      <c r="W284">
        <v>216</v>
      </c>
      <c r="X284" s="3">
        <v>3.6649694046878243</v>
      </c>
      <c r="Y284" s="7">
        <v>3.1157379820144025E-2</v>
      </c>
      <c r="Z284">
        <v>0.472285850482071</v>
      </c>
      <c r="AA284"/>
      <c r="AB284"/>
    </row>
    <row r="285" spans="1:28" x14ac:dyDescent="0.3">
      <c r="A285" s="1" t="s">
        <v>300</v>
      </c>
      <c r="B285" s="1" t="s">
        <v>367</v>
      </c>
      <c r="C285" s="2">
        <v>45390</v>
      </c>
      <c r="D285" s="2">
        <v>45384</v>
      </c>
      <c r="E285" s="1" t="s">
        <v>376</v>
      </c>
      <c r="F285" s="1" t="s">
        <v>381</v>
      </c>
      <c r="G285" s="1" t="s">
        <v>382</v>
      </c>
      <c r="H285" s="1" t="s">
        <v>386</v>
      </c>
      <c r="I285">
        <v>94364.53</v>
      </c>
      <c r="J285">
        <v>859178</v>
      </c>
      <c r="K285">
        <v>43417</v>
      </c>
      <c r="L285">
        <v>1314</v>
      </c>
      <c r="M285">
        <v>75145.259999999995</v>
      </c>
      <c r="N285" s="1" t="s">
        <v>389</v>
      </c>
      <c r="O285">
        <v>6</v>
      </c>
      <c r="P285" s="8">
        <v>5.0533184043353101E-2</v>
      </c>
      <c r="Q285" s="8">
        <v>3.02646428818205E-2</v>
      </c>
      <c r="R285" s="1">
        <v>71.814710806697107</v>
      </c>
      <c r="S285" s="3">
        <v>0.79632951067525048</v>
      </c>
      <c r="T285" s="1">
        <v>-19219.270000000004</v>
      </c>
      <c r="U285" s="2">
        <v>45420</v>
      </c>
      <c r="V285" s="10">
        <v>50.2</v>
      </c>
      <c r="W285">
        <v>30</v>
      </c>
      <c r="X285" s="3">
        <v>1.7307796485247713</v>
      </c>
      <c r="Y285" s="7">
        <v>1.3924723622318683E-2</v>
      </c>
      <c r="Z285">
        <v>1.2557615743162001</v>
      </c>
      <c r="AA285"/>
      <c r="AB285"/>
    </row>
    <row r="286" spans="1:28" x14ac:dyDescent="0.3">
      <c r="A286" s="1" t="s">
        <v>301</v>
      </c>
      <c r="B286" s="1" t="s">
        <v>371</v>
      </c>
      <c r="C286" s="2">
        <v>45297</v>
      </c>
      <c r="D286" s="2">
        <v>45565</v>
      </c>
      <c r="E286" s="1" t="s">
        <v>377</v>
      </c>
      <c r="F286" s="1" t="s">
        <v>378</v>
      </c>
      <c r="G286" s="1" t="s">
        <v>382</v>
      </c>
      <c r="H286" s="1" t="s">
        <v>388</v>
      </c>
      <c r="I286">
        <v>29633.19</v>
      </c>
      <c r="J286">
        <v>1690854</v>
      </c>
      <c r="K286">
        <v>40748</v>
      </c>
      <c r="L286">
        <v>1067</v>
      </c>
      <c r="M286">
        <v>40085.550000000003</v>
      </c>
      <c r="N286" s="1" t="s">
        <v>389</v>
      </c>
      <c r="O286">
        <v>6</v>
      </c>
      <c r="P286" s="8">
        <v>2.40990647329693E-2</v>
      </c>
      <c r="Q286" s="8">
        <v>2.61853342495337E-2</v>
      </c>
      <c r="R286" s="1">
        <v>27.772436738519211</v>
      </c>
      <c r="S286" s="3">
        <v>1.3527247657103405</v>
      </c>
      <c r="T286" s="1">
        <v>10452.360000000004</v>
      </c>
      <c r="U286" s="2">
        <v>45565</v>
      </c>
      <c r="V286" s="10">
        <v>52.58</v>
      </c>
      <c r="W286">
        <v>268</v>
      </c>
      <c r="X286" s="3">
        <v>0.98374276038087771</v>
      </c>
      <c r="Y286" s="7">
        <v>3.600692331807679E-2</v>
      </c>
      <c r="Z286">
        <v>0.73924868188162596</v>
      </c>
      <c r="AA286"/>
      <c r="AB286"/>
    </row>
    <row r="287" spans="1:28" x14ac:dyDescent="0.3">
      <c r="A287" s="1" t="s">
        <v>302</v>
      </c>
      <c r="B287" s="1" t="s">
        <v>368</v>
      </c>
      <c r="C287" s="2">
        <v>45488</v>
      </c>
      <c r="D287" s="2">
        <v>45346</v>
      </c>
      <c r="E287" s="1" t="s">
        <v>372</v>
      </c>
      <c r="F287" s="1" t="s">
        <v>378</v>
      </c>
      <c r="G287" s="1" t="s">
        <v>385</v>
      </c>
      <c r="H287" s="1" t="s">
        <v>386</v>
      </c>
      <c r="I287">
        <v>45817.4</v>
      </c>
      <c r="J287">
        <v>633098</v>
      </c>
      <c r="K287">
        <v>8069</v>
      </c>
      <c r="L287">
        <v>1934</v>
      </c>
      <c r="M287">
        <v>90871.53</v>
      </c>
      <c r="N287" s="1" t="s">
        <v>390</v>
      </c>
      <c r="O287">
        <v>8</v>
      </c>
      <c r="P287" s="8">
        <v>1.27452621868968E-2</v>
      </c>
      <c r="Q287" s="8">
        <v>0.239682736398562</v>
      </c>
      <c r="R287" s="1">
        <v>23.690486039296793</v>
      </c>
      <c r="S287" s="3">
        <v>1.9833410451051345</v>
      </c>
      <c r="T287" s="1">
        <v>45054.13</v>
      </c>
      <c r="U287" s="2">
        <v>45518</v>
      </c>
      <c r="V287" s="10">
        <v>26.41</v>
      </c>
      <c r="W287">
        <v>30</v>
      </c>
      <c r="X287" s="3">
        <v>11.261808154666005</v>
      </c>
      <c r="Y287" s="7">
        <v>4.2211037728024724E-2</v>
      </c>
      <c r="Z287">
        <v>0.50419972019839399</v>
      </c>
      <c r="AA287"/>
      <c r="AB287"/>
    </row>
    <row r="288" spans="1:28" x14ac:dyDescent="0.3">
      <c r="A288" s="1" t="s">
        <v>303</v>
      </c>
      <c r="B288" s="1" t="s">
        <v>367</v>
      </c>
      <c r="C288" s="2">
        <v>45424</v>
      </c>
      <c r="D288" s="2">
        <v>45411</v>
      </c>
      <c r="E288" s="1" t="s">
        <v>374</v>
      </c>
      <c r="F288" s="1" t="s">
        <v>378</v>
      </c>
      <c r="G288" s="1" t="s">
        <v>385</v>
      </c>
      <c r="H288" s="1" t="s">
        <v>388</v>
      </c>
      <c r="I288">
        <v>87909.37</v>
      </c>
      <c r="J288">
        <v>692650</v>
      </c>
      <c r="K288">
        <v>43359</v>
      </c>
      <c r="L288">
        <v>1227</v>
      </c>
      <c r="M288">
        <v>249890.54</v>
      </c>
      <c r="N288" s="1" t="s">
        <v>389</v>
      </c>
      <c r="O288">
        <v>8</v>
      </c>
      <c r="P288" s="8">
        <v>6.2598715079766096E-2</v>
      </c>
      <c r="Q288" s="8">
        <v>2.8298623123227E-2</v>
      </c>
      <c r="R288" s="1">
        <v>71.645778321108395</v>
      </c>
      <c r="S288" s="3">
        <v>2.8425927748088746</v>
      </c>
      <c r="T288" s="1">
        <v>161981.17000000001</v>
      </c>
      <c r="U288" s="2">
        <v>45454</v>
      </c>
      <c r="V288" s="10">
        <v>14.38</v>
      </c>
      <c r="W288">
        <v>30</v>
      </c>
      <c r="X288" s="3">
        <v>5.7632911275629048</v>
      </c>
      <c r="Y288" s="7">
        <v>1.3957556515306616E-2</v>
      </c>
      <c r="Z288">
        <v>0.351791508394035</v>
      </c>
      <c r="AA288"/>
      <c r="AB288"/>
    </row>
    <row r="289" spans="1:28" x14ac:dyDescent="0.3">
      <c r="A289" s="1" t="s">
        <v>304</v>
      </c>
      <c r="B289" s="1" t="s">
        <v>368</v>
      </c>
      <c r="C289" s="2">
        <v>45550</v>
      </c>
      <c r="D289" s="2">
        <v>45396</v>
      </c>
      <c r="E289" s="1" t="s">
        <v>374</v>
      </c>
      <c r="F289" s="1" t="s">
        <v>379</v>
      </c>
      <c r="G289" s="1" t="s">
        <v>384</v>
      </c>
      <c r="H289" s="1" t="s">
        <v>388</v>
      </c>
      <c r="I289">
        <v>84983.69</v>
      </c>
      <c r="J289">
        <v>526513</v>
      </c>
      <c r="K289">
        <v>20799</v>
      </c>
      <c r="L289">
        <v>1859</v>
      </c>
      <c r="M289">
        <v>107380.28</v>
      </c>
      <c r="N289" s="1" t="s">
        <v>390</v>
      </c>
      <c r="O289">
        <v>4</v>
      </c>
      <c r="P289" s="8">
        <v>3.9503298114196603E-2</v>
      </c>
      <c r="Q289" s="8">
        <v>8.9379297081590495E-2</v>
      </c>
      <c r="R289" s="1">
        <v>45.714733727810653</v>
      </c>
      <c r="S289" s="3">
        <v>1.2635398627666086</v>
      </c>
      <c r="T289" s="1">
        <v>22396.589999999997</v>
      </c>
      <c r="U289" s="2">
        <v>45580</v>
      </c>
      <c r="V289" s="10">
        <v>44.48</v>
      </c>
      <c r="W289">
        <v>30</v>
      </c>
      <c r="X289" s="3">
        <v>5.1627616712341942</v>
      </c>
      <c r="Y289" s="7">
        <v>2.1874785620629087E-2</v>
      </c>
      <c r="Z289">
        <v>0.79142734587765995</v>
      </c>
      <c r="AA289"/>
      <c r="AB289"/>
    </row>
    <row r="290" spans="1:28" x14ac:dyDescent="0.3">
      <c r="A290" s="1" t="s">
        <v>305</v>
      </c>
      <c r="B290" s="1" t="s">
        <v>369</v>
      </c>
      <c r="C290" s="2">
        <v>45314</v>
      </c>
      <c r="D290" s="2">
        <v>45615</v>
      </c>
      <c r="E290" s="1" t="s">
        <v>372</v>
      </c>
      <c r="F290" s="1" t="s">
        <v>381</v>
      </c>
      <c r="G290" s="1" t="s">
        <v>385</v>
      </c>
      <c r="H290" s="1" t="s">
        <v>386</v>
      </c>
      <c r="I290">
        <v>22679.63</v>
      </c>
      <c r="J290">
        <v>1244871</v>
      </c>
      <c r="K290">
        <v>34210</v>
      </c>
      <c r="L290">
        <v>1169</v>
      </c>
      <c r="M290">
        <v>62917.22</v>
      </c>
      <c r="N290" s="1" t="s">
        <v>391</v>
      </c>
      <c r="O290">
        <v>6</v>
      </c>
      <c r="P290" s="8">
        <v>2.7480759050536201E-2</v>
      </c>
      <c r="Q290" s="8">
        <v>3.41712949429991E-2</v>
      </c>
      <c r="R290" s="1">
        <v>19.40088109495295</v>
      </c>
      <c r="S290" s="3">
        <v>2.7741731236356149</v>
      </c>
      <c r="T290" s="1">
        <v>40237.589999999997</v>
      </c>
      <c r="U290" s="2">
        <v>45615</v>
      </c>
      <c r="V290" s="10">
        <v>22.97</v>
      </c>
      <c r="W290">
        <v>301</v>
      </c>
      <c r="X290" s="3">
        <v>1.8391470330312774</v>
      </c>
      <c r="Y290" s="7">
        <v>5.1544050762732899E-2</v>
      </c>
      <c r="Z290">
        <v>0.360467770190736</v>
      </c>
      <c r="AA290"/>
      <c r="AB290"/>
    </row>
    <row r="291" spans="1:28" x14ac:dyDescent="0.3">
      <c r="A291" s="1" t="s">
        <v>306</v>
      </c>
      <c r="B291" s="1" t="s">
        <v>367</v>
      </c>
      <c r="C291" s="2">
        <v>45344</v>
      </c>
      <c r="D291" s="2">
        <v>45531</v>
      </c>
      <c r="E291" s="1" t="s">
        <v>377</v>
      </c>
      <c r="F291" s="1" t="s">
        <v>378</v>
      </c>
      <c r="G291" s="1" t="s">
        <v>385</v>
      </c>
      <c r="H291" s="1" t="s">
        <v>387</v>
      </c>
      <c r="I291">
        <v>81251.11</v>
      </c>
      <c r="J291">
        <v>515453</v>
      </c>
      <c r="K291">
        <v>29226</v>
      </c>
      <c r="L291">
        <v>1799</v>
      </c>
      <c r="M291">
        <v>192995.89</v>
      </c>
      <c r="N291" s="1" t="s">
        <v>391</v>
      </c>
      <c r="O291">
        <v>7</v>
      </c>
      <c r="P291" s="8">
        <v>5.6699640898394202E-2</v>
      </c>
      <c r="Q291" s="8">
        <v>6.15547799904195E-2</v>
      </c>
      <c r="R291" s="1">
        <v>45.164596998332406</v>
      </c>
      <c r="S291" s="3">
        <v>2.3753015804953312</v>
      </c>
      <c r="T291" s="1">
        <v>111744.78000000001</v>
      </c>
      <c r="U291" s="2">
        <v>45531</v>
      </c>
      <c r="V291" s="10">
        <v>33.83</v>
      </c>
      <c r="W291">
        <v>187</v>
      </c>
      <c r="X291" s="3">
        <v>6.6035683980017801</v>
      </c>
      <c r="Y291" s="7">
        <v>2.2141235978191558E-2</v>
      </c>
      <c r="Z291">
        <v>0.42099917257305303</v>
      </c>
      <c r="AA291"/>
      <c r="AB291"/>
    </row>
    <row r="292" spans="1:28" x14ac:dyDescent="0.3">
      <c r="A292" s="1" t="s">
        <v>307</v>
      </c>
      <c r="B292" s="1" t="s">
        <v>369</v>
      </c>
      <c r="C292" s="2">
        <v>45456</v>
      </c>
      <c r="D292" s="2">
        <v>45338</v>
      </c>
      <c r="E292" s="1" t="s">
        <v>374</v>
      </c>
      <c r="F292" s="1" t="s">
        <v>379</v>
      </c>
      <c r="G292" s="1" t="s">
        <v>383</v>
      </c>
      <c r="H292" s="1" t="s">
        <v>388</v>
      </c>
      <c r="I292">
        <v>48527.75</v>
      </c>
      <c r="J292">
        <v>1756533</v>
      </c>
      <c r="K292">
        <v>5652</v>
      </c>
      <c r="L292">
        <v>343</v>
      </c>
      <c r="M292">
        <v>140193.04</v>
      </c>
      <c r="N292" s="1" t="s">
        <v>389</v>
      </c>
      <c r="O292">
        <v>6</v>
      </c>
      <c r="P292" s="8">
        <v>3.2177021439392301E-3</v>
      </c>
      <c r="Q292" s="8">
        <v>6.0686482661005001E-2</v>
      </c>
      <c r="R292" s="1">
        <v>141.48032069970844</v>
      </c>
      <c r="S292" s="3">
        <v>2.8889252025902707</v>
      </c>
      <c r="T292" s="1">
        <v>91665.290000000008</v>
      </c>
      <c r="U292" s="2">
        <v>45486</v>
      </c>
      <c r="V292" s="10">
        <v>70.95</v>
      </c>
      <c r="W292">
        <v>30</v>
      </c>
      <c r="X292" s="3">
        <v>24.804147204529372</v>
      </c>
      <c r="Y292" s="7">
        <v>7.0681208174704167E-3</v>
      </c>
      <c r="Z292">
        <v>0.346149495010594</v>
      </c>
      <c r="AA292"/>
      <c r="AB292"/>
    </row>
    <row r="293" spans="1:28" x14ac:dyDescent="0.3">
      <c r="A293" s="1" t="s">
        <v>308</v>
      </c>
      <c r="B293" s="1" t="s">
        <v>371</v>
      </c>
      <c r="C293" s="2">
        <v>45493</v>
      </c>
      <c r="D293" s="2">
        <v>45449</v>
      </c>
      <c r="E293" s="1" t="s">
        <v>374</v>
      </c>
      <c r="F293" s="1" t="s">
        <v>378</v>
      </c>
      <c r="G293" s="1" t="s">
        <v>385</v>
      </c>
      <c r="H293" s="1" t="s">
        <v>388</v>
      </c>
      <c r="I293">
        <v>50882.04</v>
      </c>
      <c r="J293">
        <v>771037</v>
      </c>
      <c r="K293">
        <v>25323</v>
      </c>
      <c r="L293">
        <v>258</v>
      </c>
      <c r="M293">
        <v>45904.35</v>
      </c>
      <c r="N293" s="1" t="s">
        <v>391</v>
      </c>
      <c r="O293">
        <v>6</v>
      </c>
      <c r="P293" s="8">
        <v>3.28427818639054E-2</v>
      </c>
      <c r="Q293" s="8">
        <v>1.01883663073096E-2</v>
      </c>
      <c r="R293" s="1">
        <v>197.21720930232559</v>
      </c>
      <c r="S293" s="3">
        <v>0.90217196480329798</v>
      </c>
      <c r="T293" s="1">
        <v>-4977.6900000000023</v>
      </c>
      <c r="U293" s="2">
        <v>45523</v>
      </c>
      <c r="V293" s="10">
        <v>77.260000000000005</v>
      </c>
      <c r="W293">
        <v>30</v>
      </c>
      <c r="X293" s="3">
        <v>1.8127532282904868</v>
      </c>
      <c r="Y293" s="7">
        <v>5.0705514165705623E-3</v>
      </c>
      <c r="Z293">
        <v>1.10843612860219</v>
      </c>
      <c r="AA293"/>
      <c r="AB293"/>
    </row>
    <row r="294" spans="1:28" x14ac:dyDescent="0.3">
      <c r="A294" s="1" t="s">
        <v>309</v>
      </c>
      <c r="B294" s="1" t="s">
        <v>371</v>
      </c>
      <c r="C294" s="2">
        <v>45374</v>
      </c>
      <c r="D294" s="2">
        <v>45572</v>
      </c>
      <c r="E294" s="1" t="s">
        <v>374</v>
      </c>
      <c r="F294" s="1" t="s">
        <v>380</v>
      </c>
      <c r="G294" s="1" t="s">
        <v>384</v>
      </c>
      <c r="H294" s="1" t="s">
        <v>388</v>
      </c>
      <c r="I294">
        <v>17680.599999999999</v>
      </c>
      <c r="J294">
        <v>1363379</v>
      </c>
      <c r="K294">
        <v>43138</v>
      </c>
      <c r="L294">
        <v>1416</v>
      </c>
      <c r="M294">
        <v>101365.52</v>
      </c>
      <c r="N294" s="1" t="s">
        <v>391</v>
      </c>
      <c r="O294">
        <v>8</v>
      </c>
      <c r="P294" s="8">
        <v>3.16405049513011E-2</v>
      </c>
      <c r="Q294" s="8">
        <v>3.2824887570123799E-2</v>
      </c>
      <c r="R294" s="1">
        <v>12.486299435028247</v>
      </c>
      <c r="S294" s="3">
        <v>5.7331493275115104</v>
      </c>
      <c r="T294" s="1">
        <v>83684.920000000013</v>
      </c>
      <c r="U294" s="2">
        <v>45572</v>
      </c>
      <c r="V294" s="10">
        <v>72.819999999999993</v>
      </c>
      <c r="W294">
        <v>198</v>
      </c>
      <c r="X294" s="3">
        <v>2.3497964671519309</v>
      </c>
      <c r="Y294" s="7">
        <v>8.0087779826476482E-2</v>
      </c>
      <c r="Z294">
        <v>0.17442420262826999</v>
      </c>
      <c r="AA294"/>
      <c r="AB294"/>
    </row>
    <row r="295" spans="1:28" x14ac:dyDescent="0.3">
      <c r="A295" s="1" t="s">
        <v>310</v>
      </c>
      <c r="B295" s="1" t="s">
        <v>367</v>
      </c>
      <c r="C295" s="2">
        <v>45436</v>
      </c>
      <c r="D295" s="2">
        <v>45500</v>
      </c>
      <c r="E295" s="1" t="s">
        <v>375</v>
      </c>
      <c r="F295" s="1" t="s">
        <v>381</v>
      </c>
      <c r="G295" s="1" t="s">
        <v>383</v>
      </c>
      <c r="H295" s="1" t="s">
        <v>387</v>
      </c>
      <c r="I295">
        <v>12657.14</v>
      </c>
      <c r="J295">
        <v>1185092</v>
      </c>
      <c r="K295">
        <v>8597</v>
      </c>
      <c r="L295">
        <v>1161</v>
      </c>
      <c r="M295">
        <v>109472.73</v>
      </c>
      <c r="N295" s="1" t="s">
        <v>391</v>
      </c>
      <c r="O295">
        <v>6</v>
      </c>
      <c r="P295" s="8">
        <v>7.2542891184819401E-3</v>
      </c>
      <c r="Q295" s="8">
        <v>0.135047109456787</v>
      </c>
      <c r="R295" s="1">
        <v>10.901929371231697</v>
      </c>
      <c r="S295" s="3">
        <v>8.6490889727063145</v>
      </c>
      <c r="T295" s="1">
        <v>96815.59</v>
      </c>
      <c r="U295" s="2">
        <v>45500</v>
      </c>
      <c r="V295" s="10">
        <v>68.739999999999995</v>
      </c>
      <c r="W295">
        <v>64</v>
      </c>
      <c r="X295" s="3">
        <v>12.733829242759102</v>
      </c>
      <c r="Y295" s="7">
        <v>9.1726883008325738E-2</v>
      </c>
      <c r="Z295">
        <v>0.115619113545446</v>
      </c>
      <c r="AA295"/>
      <c r="AB295"/>
    </row>
    <row r="296" spans="1:28" x14ac:dyDescent="0.3">
      <c r="A296" s="1" t="s">
        <v>311</v>
      </c>
      <c r="B296" s="1" t="s">
        <v>367</v>
      </c>
      <c r="C296" s="2">
        <v>45376</v>
      </c>
      <c r="D296" s="2">
        <v>45503</v>
      </c>
      <c r="E296" s="1" t="s">
        <v>375</v>
      </c>
      <c r="F296" s="1" t="s">
        <v>381</v>
      </c>
      <c r="G296" s="1" t="s">
        <v>384</v>
      </c>
      <c r="H296" s="1" t="s">
        <v>387</v>
      </c>
      <c r="I296">
        <v>74154.23</v>
      </c>
      <c r="J296">
        <v>1173143</v>
      </c>
      <c r="K296">
        <v>48093</v>
      </c>
      <c r="L296">
        <v>867</v>
      </c>
      <c r="M296">
        <v>190919.13</v>
      </c>
      <c r="N296" s="1" t="s">
        <v>389</v>
      </c>
      <c r="O296">
        <v>9</v>
      </c>
      <c r="P296" s="8">
        <v>4.0995002314295897E-2</v>
      </c>
      <c r="Q296" s="8">
        <v>1.80275715800636E-2</v>
      </c>
      <c r="R296" s="1">
        <v>85.529677047289496</v>
      </c>
      <c r="S296" s="3">
        <v>2.5746222433973087</v>
      </c>
      <c r="T296" s="1">
        <v>116764.90000000001</v>
      </c>
      <c r="U296" s="2">
        <v>45503</v>
      </c>
      <c r="V296" s="10">
        <v>77.89</v>
      </c>
      <c r="W296">
        <v>127</v>
      </c>
      <c r="X296" s="3">
        <v>3.9697904060882041</v>
      </c>
      <c r="Y296" s="7">
        <v>1.1691848192611536E-2</v>
      </c>
      <c r="Z296">
        <v>0.38840649441467701</v>
      </c>
      <c r="AA296"/>
      <c r="AB296"/>
    </row>
    <row r="297" spans="1:28" x14ac:dyDescent="0.3">
      <c r="A297" s="1" t="s">
        <v>312</v>
      </c>
      <c r="B297" s="1" t="s">
        <v>368</v>
      </c>
      <c r="C297" s="2">
        <v>45369</v>
      </c>
      <c r="D297" s="2">
        <v>45473</v>
      </c>
      <c r="E297" s="1" t="s">
        <v>373</v>
      </c>
      <c r="F297" s="1" t="s">
        <v>379</v>
      </c>
      <c r="G297" s="1" t="s">
        <v>385</v>
      </c>
      <c r="H297" s="1" t="s">
        <v>386</v>
      </c>
      <c r="I297">
        <v>52163.81</v>
      </c>
      <c r="J297">
        <v>1900045</v>
      </c>
      <c r="K297">
        <v>38226</v>
      </c>
      <c r="L297">
        <v>1849</v>
      </c>
      <c r="M297">
        <v>14961.13</v>
      </c>
      <c r="N297" s="1" t="s">
        <v>389</v>
      </c>
      <c r="O297">
        <v>6</v>
      </c>
      <c r="P297" s="8">
        <v>2.0118470878321301E-2</v>
      </c>
      <c r="Q297" s="8">
        <v>4.8370219222518697E-2</v>
      </c>
      <c r="R297" s="1">
        <v>28.21190373174689</v>
      </c>
      <c r="S297" s="3">
        <v>0.28681053013573971</v>
      </c>
      <c r="T297" s="1">
        <v>-37202.68</v>
      </c>
      <c r="U297" s="2">
        <v>45473</v>
      </c>
      <c r="V297" s="10">
        <v>71.67</v>
      </c>
      <c r="W297">
        <v>104</v>
      </c>
      <c r="X297" s="3">
        <v>0.39138622926803746</v>
      </c>
      <c r="Y297" s="7">
        <v>3.5446030495088453E-2</v>
      </c>
      <c r="Z297">
        <v>3.4866223340081901</v>
      </c>
      <c r="AA297"/>
      <c r="AB297"/>
    </row>
    <row r="298" spans="1:28" x14ac:dyDescent="0.3">
      <c r="A298" s="1" t="s">
        <v>313</v>
      </c>
      <c r="B298" s="1" t="s">
        <v>368</v>
      </c>
      <c r="C298" s="2">
        <v>45292</v>
      </c>
      <c r="D298" s="2">
        <v>45346</v>
      </c>
      <c r="E298" s="1" t="s">
        <v>376</v>
      </c>
      <c r="F298" s="1" t="s">
        <v>379</v>
      </c>
      <c r="G298" s="1" t="s">
        <v>384</v>
      </c>
      <c r="H298" s="1" t="s">
        <v>387</v>
      </c>
      <c r="I298">
        <v>46500.82</v>
      </c>
      <c r="J298">
        <v>176498</v>
      </c>
      <c r="K298">
        <v>7591</v>
      </c>
      <c r="L298">
        <v>439</v>
      </c>
      <c r="M298">
        <v>74564.72</v>
      </c>
      <c r="N298" s="1" t="s">
        <v>391</v>
      </c>
      <c r="O298">
        <v>9</v>
      </c>
      <c r="P298" s="8">
        <v>4.3008985937517702E-2</v>
      </c>
      <c r="Q298" s="8">
        <v>5.7831642734817598E-2</v>
      </c>
      <c r="R298" s="1">
        <v>105.92441913439636</v>
      </c>
      <c r="S298" s="3">
        <v>1.6035140885687607</v>
      </c>
      <c r="T298" s="1">
        <v>28063.9</v>
      </c>
      <c r="U298" s="2">
        <v>45346</v>
      </c>
      <c r="V298" s="10">
        <v>63.24</v>
      </c>
      <c r="W298">
        <v>54</v>
      </c>
      <c r="X298" s="3">
        <v>9.822779607429851</v>
      </c>
      <c r="Y298" s="7">
        <v>9.4406937340029695E-3</v>
      </c>
      <c r="Z298">
        <v>0.62363031739407004</v>
      </c>
      <c r="AA298"/>
      <c r="AB298"/>
    </row>
    <row r="299" spans="1:28" x14ac:dyDescent="0.3">
      <c r="A299" s="1" t="s">
        <v>314</v>
      </c>
      <c r="B299" s="1" t="s">
        <v>369</v>
      </c>
      <c r="C299" s="2">
        <v>45342</v>
      </c>
      <c r="D299" s="2">
        <v>45501</v>
      </c>
      <c r="E299" s="1" t="s">
        <v>372</v>
      </c>
      <c r="F299" s="1" t="s">
        <v>381</v>
      </c>
      <c r="G299" s="1" t="s">
        <v>383</v>
      </c>
      <c r="H299" s="1" t="s">
        <v>386</v>
      </c>
      <c r="I299">
        <v>74303.28</v>
      </c>
      <c r="J299">
        <v>752098</v>
      </c>
      <c r="K299">
        <v>26833</v>
      </c>
      <c r="L299">
        <v>374</v>
      </c>
      <c r="M299">
        <v>134223.10999999999</v>
      </c>
      <c r="N299" s="1" t="s">
        <v>390</v>
      </c>
      <c r="O299">
        <v>7</v>
      </c>
      <c r="P299" s="8">
        <v>3.5677531385537503E-2</v>
      </c>
      <c r="Q299" s="8">
        <v>1.3938061342376899E-2</v>
      </c>
      <c r="R299" s="1">
        <v>198.671871657754</v>
      </c>
      <c r="S299" s="3">
        <v>1.8064224082705365</v>
      </c>
      <c r="T299" s="1">
        <v>59919.829999999987</v>
      </c>
      <c r="U299" s="2">
        <v>45501</v>
      </c>
      <c r="V299" s="10">
        <v>70.41</v>
      </c>
      <c r="W299">
        <v>159</v>
      </c>
      <c r="X299" s="3">
        <v>5.0021656169641853</v>
      </c>
      <c r="Y299" s="7">
        <v>5.0334251731552091E-3</v>
      </c>
      <c r="Z299">
        <v>0.55358037822249795</v>
      </c>
      <c r="AA299"/>
      <c r="AB299"/>
    </row>
    <row r="300" spans="1:28" x14ac:dyDescent="0.3">
      <c r="A300" s="1" t="s">
        <v>315</v>
      </c>
      <c r="B300" s="1" t="s">
        <v>367</v>
      </c>
      <c r="C300" s="2">
        <v>45464</v>
      </c>
      <c r="D300" s="2">
        <v>45519</v>
      </c>
      <c r="E300" s="1" t="s">
        <v>372</v>
      </c>
      <c r="F300" s="1" t="s">
        <v>378</v>
      </c>
      <c r="G300" s="1" t="s">
        <v>382</v>
      </c>
      <c r="H300" s="1" t="s">
        <v>386</v>
      </c>
      <c r="I300">
        <v>77723.73</v>
      </c>
      <c r="J300">
        <v>1071469</v>
      </c>
      <c r="K300">
        <v>12826</v>
      </c>
      <c r="L300">
        <v>989</v>
      </c>
      <c r="M300">
        <v>74523.22</v>
      </c>
      <c r="N300" s="1" t="s">
        <v>391</v>
      </c>
      <c r="O300">
        <v>8</v>
      </c>
      <c r="P300" s="8">
        <v>1.1970481647159199E-2</v>
      </c>
      <c r="Q300" s="8">
        <v>7.7108997349134595E-2</v>
      </c>
      <c r="R300" s="1">
        <v>78.588200202224471</v>
      </c>
      <c r="S300" s="3">
        <v>0.95882197110200451</v>
      </c>
      <c r="T300" s="1">
        <v>-3200.5099999999948</v>
      </c>
      <c r="U300" s="2">
        <v>45519</v>
      </c>
      <c r="V300" s="10">
        <v>53.58</v>
      </c>
      <c r="W300">
        <v>55</v>
      </c>
      <c r="X300" s="3">
        <v>5.8103243411819738</v>
      </c>
      <c r="Y300" s="7">
        <v>1.2724556580081784E-2</v>
      </c>
      <c r="Z300">
        <v>1.0429464803050601</v>
      </c>
      <c r="AA300"/>
      <c r="AB300"/>
    </row>
    <row r="301" spans="1:28" x14ac:dyDescent="0.3">
      <c r="A301" s="1" t="s">
        <v>316</v>
      </c>
      <c r="B301" s="1" t="s">
        <v>371</v>
      </c>
      <c r="C301" s="2">
        <v>45496</v>
      </c>
      <c r="D301" s="2">
        <v>45482</v>
      </c>
      <c r="E301" s="1" t="s">
        <v>372</v>
      </c>
      <c r="F301" s="1" t="s">
        <v>378</v>
      </c>
      <c r="G301" s="1" t="s">
        <v>384</v>
      </c>
      <c r="H301" s="1" t="s">
        <v>387</v>
      </c>
      <c r="I301">
        <v>20096.28</v>
      </c>
      <c r="J301">
        <v>514894</v>
      </c>
      <c r="K301">
        <v>27417</v>
      </c>
      <c r="L301">
        <v>938</v>
      </c>
      <c r="M301">
        <v>160824.17000000001</v>
      </c>
      <c r="N301" s="1" t="s">
        <v>389</v>
      </c>
      <c r="O301">
        <v>6</v>
      </c>
      <c r="P301" s="8">
        <v>5.32478529561424E-2</v>
      </c>
      <c r="Q301" s="8">
        <v>3.4212350001823703E-2</v>
      </c>
      <c r="R301" s="1">
        <v>21.424605543710019</v>
      </c>
      <c r="S301" s="3">
        <v>8.0026835812399124</v>
      </c>
      <c r="T301" s="1">
        <v>140727.89000000001</v>
      </c>
      <c r="U301" s="2">
        <v>45526</v>
      </c>
      <c r="V301" s="10">
        <v>55.4</v>
      </c>
      <c r="W301">
        <v>30</v>
      </c>
      <c r="X301" s="3">
        <v>5.8658558558558562</v>
      </c>
      <c r="Y301" s="7">
        <v>4.6675305081338436E-2</v>
      </c>
      <c r="Z301">
        <v>0.124958083104051</v>
      </c>
      <c r="AA301"/>
      <c r="AB301"/>
    </row>
    <row r="302" spans="1:28" x14ac:dyDescent="0.3">
      <c r="A302" s="1" t="s">
        <v>317</v>
      </c>
      <c r="B302" s="1" t="s">
        <v>368</v>
      </c>
      <c r="C302" s="2">
        <v>45551</v>
      </c>
      <c r="D302" s="2">
        <v>45498</v>
      </c>
      <c r="E302" s="1" t="s">
        <v>373</v>
      </c>
      <c r="F302" s="1" t="s">
        <v>380</v>
      </c>
      <c r="G302" s="1" t="s">
        <v>384</v>
      </c>
      <c r="H302" s="1" t="s">
        <v>386</v>
      </c>
      <c r="I302">
        <v>62971.39</v>
      </c>
      <c r="J302">
        <v>1634973</v>
      </c>
      <c r="K302">
        <v>19693</v>
      </c>
      <c r="L302">
        <v>1905</v>
      </c>
      <c r="M302">
        <v>125648.2</v>
      </c>
      <c r="N302" s="1" t="s">
        <v>389</v>
      </c>
      <c r="O302">
        <v>9</v>
      </c>
      <c r="P302" s="8">
        <v>1.20448472237768E-2</v>
      </c>
      <c r="Q302" s="8">
        <v>9.6734880414360402E-2</v>
      </c>
      <c r="R302" s="1">
        <v>33.055847769028873</v>
      </c>
      <c r="S302" s="3">
        <v>1.9953220025792666</v>
      </c>
      <c r="T302" s="1">
        <v>62676.81</v>
      </c>
      <c r="U302" s="2">
        <v>45581</v>
      </c>
      <c r="V302" s="10">
        <v>56.7</v>
      </c>
      <c r="W302">
        <v>30</v>
      </c>
      <c r="X302" s="3">
        <v>6.3803483471284208</v>
      </c>
      <c r="Y302" s="7">
        <v>3.0251833411966928E-2</v>
      </c>
      <c r="Z302">
        <v>0.50117224122589898</v>
      </c>
      <c r="AA302"/>
      <c r="AB302"/>
    </row>
    <row r="303" spans="1:28" x14ac:dyDescent="0.3">
      <c r="A303" s="1" t="s">
        <v>318</v>
      </c>
      <c r="B303" s="1" t="s">
        <v>368</v>
      </c>
      <c r="C303" s="2">
        <v>45579</v>
      </c>
      <c r="D303" s="2">
        <v>45606</v>
      </c>
      <c r="E303" s="1" t="s">
        <v>375</v>
      </c>
      <c r="F303" s="1" t="s">
        <v>378</v>
      </c>
      <c r="G303" s="1" t="s">
        <v>383</v>
      </c>
      <c r="H303" s="1" t="s">
        <v>387</v>
      </c>
      <c r="I303">
        <v>17858.64</v>
      </c>
      <c r="J303">
        <v>334154</v>
      </c>
      <c r="K303">
        <v>15138</v>
      </c>
      <c r="L303">
        <v>1230</v>
      </c>
      <c r="M303">
        <v>96810.46</v>
      </c>
      <c r="N303" s="1" t="s">
        <v>389</v>
      </c>
      <c r="O303">
        <v>9</v>
      </c>
      <c r="P303" s="8">
        <v>4.53024653303567E-2</v>
      </c>
      <c r="Q303" s="8">
        <v>8.1252477209671006E-2</v>
      </c>
      <c r="R303" s="1">
        <v>14.519219512195122</v>
      </c>
      <c r="S303" s="3">
        <v>5.4209312691223976</v>
      </c>
      <c r="T303" s="1">
        <v>78951.820000000007</v>
      </c>
      <c r="U303" s="2">
        <v>45606</v>
      </c>
      <c r="V303" s="10">
        <v>14.71</v>
      </c>
      <c r="W303">
        <v>27</v>
      </c>
      <c r="X303" s="3">
        <v>6.3951948738274549</v>
      </c>
      <c r="Y303" s="7">
        <v>6.8874225584926965E-2</v>
      </c>
      <c r="Z303">
        <v>0.184470149196688</v>
      </c>
      <c r="AA303"/>
      <c r="AB303"/>
    </row>
    <row r="304" spans="1:28" x14ac:dyDescent="0.3">
      <c r="A304" s="1" t="s">
        <v>319</v>
      </c>
      <c r="B304" s="1" t="s">
        <v>371</v>
      </c>
      <c r="C304" s="2">
        <v>45325</v>
      </c>
      <c r="D304" s="2">
        <v>45384</v>
      </c>
      <c r="E304" s="1" t="s">
        <v>377</v>
      </c>
      <c r="F304" s="1" t="s">
        <v>379</v>
      </c>
      <c r="G304" s="1" t="s">
        <v>383</v>
      </c>
      <c r="H304" s="1" t="s">
        <v>386</v>
      </c>
      <c r="I304">
        <v>76380.63</v>
      </c>
      <c r="J304">
        <v>845219</v>
      </c>
      <c r="K304">
        <v>3169</v>
      </c>
      <c r="L304">
        <v>717</v>
      </c>
      <c r="M304">
        <v>237810.07</v>
      </c>
      <c r="N304" s="1" t="s">
        <v>391</v>
      </c>
      <c r="O304">
        <v>9</v>
      </c>
      <c r="P304" s="8">
        <v>3.7493241396608498E-3</v>
      </c>
      <c r="Q304" s="8">
        <v>0.22625433890817301</v>
      </c>
      <c r="R304" s="1">
        <v>106.52807531380753</v>
      </c>
      <c r="S304" s="3">
        <v>3.1134866261249741</v>
      </c>
      <c r="T304" s="1">
        <v>161429.44</v>
      </c>
      <c r="U304" s="2">
        <v>45384</v>
      </c>
      <c r="V304" s="10">
        <v>28.43</v>
      </c>
      <c r="W304">
        <v>59</v>
      </c>
      <c r="X304" s="3">
        <v>75.042622278321232</v>
      </c>
      <c r="Y304" s="7">
        <v>9.3871967277567615E-3</v>
      </c>
      <c r="Z304">
        <v>0.32118332920048298</v>
      </c>
      <c r="AA304"/>
      <c r="AB304"/>
    </row>
    <row r="305" spans="1:28" x14ac:dyDescent="0.3">
      <c r="A305" s="1" t="s">
        <v>320</v>
      </c>
      <c r="B305" s="1" t="s">
        <v>368</v>
      </c>
      <c r="C305" s="2">
        <v>45386</v>
      </c>
      <c r="D305" s="2">
        <v>45471</v>
      </c>
      <c r="E305" s="1" t="s">
        <v>377</v>
      </c>
      <c r="F305" s="1" t="s">
        <v>379</v>
      </c>
      <c r="G305" s="1" t="s">
        <v>384</v>
      </c>
      <c r="H305" s="1" t="s">
        <v>387</v>
      </c>
      <c r="I305">
        <v>67410.740000000005</v>
      </c>
      <c r="J305">
        <v>1862336</v>
      </c>
      <c r="K305">
        <v>19556</v>
      </c>
      <c r="L305">
        <v>1724</v>
      </c>
      <c r="M305">
        <v>161718.28</v>
      </c>
      <c r="N305" s="1" t="s">
        <v>390</v>
      </c>
      <c r="O305">
        <v>5</v>
      </c>
      <c r="P305" s="8">
        <v>1.0500790405168599E-2</v>
      </c>
      <c r="Q305" s="8">
        <v>8.8157087338924106E-2</v>
      </c>
      <c r="R305" s="1">
        <v>39.101357308584689</v>
      </c>
      <c r="S305" s="3">
        <v>2.3989987352163764</v>
      </c>
      <c r="T305" s="1">
        <v>94307.54</v>
      </c>
      <c r="U305" s="2">
        <v>45471</v>
      </c>
      <c r="V305" s="10">
        <v>26.28</v>
      </c>
      <c r="W305">
        <v>85</v>
      </c>
      <c r="X305" s="3">
        <v>8.2694968296175091</v>
      </c>
      <c r="Y305" s="7">
        <v>2.5574559780830175E-2</v>
      </c>
      <c r="Z305">
        <v>0.416840569909598</v>
      </c>
      <c r="AA305"/>
      <c r="AB305"/>
    </row>
    <row r="306" spans="1:28" x14ac:dyDescent="0.3">
      <c r="A306" s="1" t="s">
        <v>321</v>
      </c>
      <c r="B306" s="1" t="s">
        <v>369</v>
      </c>
      <c r="C306" s="2">
        <v>45363</v>
      </c>
      <c r="D306" s="2">
        <v>45475</v>
      </c>
      <c r="E306" s="1" t="s">
        <v>373</v>
      </c>
      <c r="F306" s="1" t="s">
        <v>378</v>
      </c>
      <c r="G306" s="1" t="s">
        <v>385</v>
      </c>
      <c r="H306" s="1" t="s">
        <v>387</v>
      </c>
      <c r="I306">
        <v>95878.39</v>
      </c>
      <c r="J306">
        <v>189544</v>
      </c>
      <c r="K306">
        <v>23052</v>
      </c>
      <c r="L306">
        <v>682</v>
      </c>
      <c r="M306">
        <v>41185.93</v>
      </c>
      <c r="N306" s="1" t="s">
        <v>389</v>
      </c>
      <c r="O306">
        <v>4</v>
      </c>
      <c r="P306" s="8">
        <v>0.12161819946819701</v>
      </c>
      <c r="Q306" s="8">
        <v>2.95852854416103E-2</v>
      </c>
      <c r="R306" s="1">
        <v>140.58414956011731</v>
      </c>
      <c r="S306" s="3">
        <v>0.42956426364689687</v>
      </c>
      <c r="T306" s="1">
        <v>-54692.46</v>
      </c>
      <c r="U306" s="2">
        <v>45475</v>
      </c>
      <c r="V306" s="10">
        <v>10.76</v>
      </c>
      <c r="W306">
        <v>112</v>
      </c>
      <c r="X306" s="3">
        <v>1.7866532188096478</v>
      </c>
      <c r="Y306" s="7">
        <v>7.1131774323703184E-3</v>
      </c>
      <c r="Z306">
        <v>2.3279403912938199</v>
      </c>
      <c r="AA306"/>
      <c r="AB306"/>
    </row>
    <row r="307" spans="1:28" x14ac:dyDescent="0.3">
      <c r="A307" s="1" t="s">
        <v>322</v>
      </c>
      <c r="B307" s="1" t="s">
        <v>367</v>
      </c>
      <c r="C307" s="2">
        <v>45330</v>
      </c>
      <c r="D307" s="2">
        <v>45477</v>
      </c>
      <c r="E307" s="1" t="s">
        <v>377</v>
      </c>
      <c r="F307" s="1" t="s">
        <v>379</v>
      </c>
      <c r="G307" s="1" t="s">
        <v>384</v>
      </c>
      <c r="H307" s="1" t="s">
        <v>386</v>
      </c>
      <c r="I307">
        <v>11551.01</v>
      </c>
      <c r="J307">
        <v>296183</v>
      </c>
      <c r="K307">
        <v>7313</v>
      </c>
      <c r="L307">
        <v>626</v>
      </c>
      <c r="M307">
        <v>144422.01</v>
      </c>
      <c r="N307" s="1" t="s">
        <v>389</v>
      </c>
      <c r="O307">
        <v>7</v>
      </c>
      <c r="P307" s="8">
        <v>2.46908161508257E-2</v>
      </c>
      <c r="Q307" s="8">
        <v>8.5600984548065098E-2</v>
      </c>
      <c r="R307" s="1">
        <v>18.452092651757187</v>
      </c>
      <c r="S307" s="3">
        <v>12.502976795968491</v>
      </c>
      <c r="T307" s="1">
        <v>132871</v>
      </c>
      <c r="U307" s="2">
        <v>45477</v>
      </c>
      <c r="V307" s="10">
        <v>42.97</v>
      </c>
      <c r="W307">
        <v>147</v>
      </c>
      <c r="X307" s="3">
        <v>19.748668125256394</v>
      </c>
      <c r="Y307" s="7">
        <v>5.4194395122158151E-2</v>
      </c>
      <c r="Z307">
        <v>7.9980953041714403E-2</v>
      </c>
      <c r="AA307"/>
      <c r="AB307"/>
    </row>
    <row r="308" spans="1:28" x14ac:dyDescent="0.3">
      <c r="A308" s="1" t="s">
        <v>323</v>
      </c>
      <c r="B308" s="1" t="s">
        <v>371</v>
      </c>
      <c r="C308" s="2">
        <v>45445</v>
      </c>
      <c r="D308" s="2">
        <v>45370</v>
      </c>
      <c r="E308" s="1" t="s">
        <v>372</v>
      </c>
      <c r="F308" s="1" t="s">
        <v>381</v>
      </c>
      <c r="G308" s="1" t="s">
        <v>383</v>
      </c>
      <c r="H308" s="1" t="s">
        <v>388</v>
      </c>
      <c r="I308">
        <v>10420.200000000001</v>
      </c>
      <c r="J308">
        <v>728743</v>
      </c>
      <c r="K308">
        <v>9315</v>
      </c>
      <c r="L308">
        <v>1692</v>
      </c>
      <c r="M308">
        <v>197375.64</v>
      </c>
      <c r="N308" s="1" t="s">
        <v>391</v>
      </c>
      <c r="O308">
        <v>6</v>
      </c>
      <c r="P308" s="8">
        <v>1.2782284015077999E-2</v>
      </c>
      <c r="Q308" s="8">
        <v>0.18164251207729501</v>
      </c>
      <c r="R308" s="1">
        <v>6.1585106382978729</v>
      </c>
      <c r="S308" s="3">
        <v>18.941636436920597</v>
      </c>
      <c r="T308" s="1">
        <v>186955.44</v>
      </c>
      <c r="U308" s="2">
        <v>45475</v>
      </c>
      <c r="V308" s="10">
        <v>10.48</v>
      </c>
      <c r="W308">
        <v>30</v>
      </c>
      <c r="X308" s="3">
        <v>21.189011272141709</v>
      </c>
      <c r="Y308" s="7">
        <v>0.16237692174814303</v>
      </c>
      <c r="Z308">
        <v>5.2793749015836E-2</v>
      </c>
      <c r="AA308"/>
      <c r="AB308"/>
    </row>
    <row r="309" spans="1:28" x14ac:dyDescent="0.3">
      <c r="A309" s="1" t="s">
        <v>324</v>
      </c>
      <c r="B309" s="1" t="s">
        <v>367</v>
      </c>
      <c r="C309" s="2">
        <v>45541</v>
      </c>
      <c r="D309" s="2">
        <v>45405</v>
      </c>
      <c r="E309" s="1" t="s">
        <v>376</v>
      </c>
      <c r="F309" s="1" t="s">
        <v>381</v>
      </c>
      <c r="G309" s="1" t="s">
        <v>382</v>
      </c>
      <c r="H309" s="1" t="s">
        <v>386</v>
      </c>
      <c r="I309">
        <v>31807.77</v>
      </c>
      <c r="J309">
        <v>1422429</v>
      </c>
      <c r="K309">
        <v>9036</v>
      </c>
      <c r="L309">
        <v>1732</v>
      </c>
      <c r="M309">
        <v>180037.53</v>
      </c>
      <c r="N309" s="1" t="s">
        <v>390</v>
      </c>
      <c r="O309">
        <v>5</v>
      </c>
      <c r="P309" s="8">
        <v>6.3525139040331701E-3</v>
      </c>
      <c r="Q309" s="8">
        <v>0.19167773351040299</v>
      </c>
      <c r="R309" s="1">
        <v>18.364763279445729</v>
      </c>
      <c r="S309" s="3">
        <v>5.6601745422580709</v>
      </c>
      <c r="T309" s="1">
        <v>148229.76000000001</v>
      </c>
      <c r="U309" s="2">
        <v>45571</v>
      </c>
      <c r="V309" s="10">
        <v>11.75</v>
      </c>
      <c r="W309">
        <v>30</v>
      </c>
      <c r="X309" s="3">
        <v>19.924472111553786</v>
      </c>
      <c r="Y309" s="7">
        <v>5.4452103998488419E-2</v>
      </c>
      <c r="Z309">
        <v>0.17667299701345601</v>
      </c>
      <c r="AA309"/>
      <c r="AB309"/>
    </row>
    <row r="310" spans="1:28" x14ac:dyDescent="0.3">
      <c r="A310" s="1" t="s">
        <v>325</v>
      </c>
      <c r="B310" s="1" t="s">
        <v>368</v>
      </c>
      <c r="C310" s="2">
        <v>45453</v>
      </c>
      <c r="D310" s="2">
        <v>45498</v>
      </c>
      <c r="E310" s="1" t="s">
        <v>374</v>
      </c>
      <c r="F310" s="1" t="s">
        <v>378</v>
      </c>
      <c r="G310" s="1" t="s">
        <v>382</v>
      </c>
      <c r="H310" s="1" t="s">
        <v>387</v>
      </c>
      <c r="I310">
        <v>29862.04</v>
      </c>
      <c r="J310">
        <v>513001</v>
      </c>
      <c r="K310">
        <v>32778</v>
      </c>
      <c r="L310">
        <v>186</v>
      </c>
      <c r="M310">
        <v>51301.42</v>
      </c>
      <c r="N310" s="1" t="s">
        <v>391</v>
      </c>
      <c r="O310">
        <v>6</v>
      </c>
      <c r="P310" s="8">
        <v>6.3894612291204106E-2</v>
      </c>
      <c r="Q310" s="8">
        <v>5.6745377997437299E-3</v>
      </c>
      <c r="R310" s="1">
        <v>160.54860215053765</v>
      </c>
      <c r="S310" s="3">
        <v>1.7179476017043711</v>
      </c>
      <c r="T310" s="1">
        <v>21439.379999999997</v>
      </c>
      <c r="U310" s="2">
        <v>45498</v>
      </c>
      <c r="V310" s="10">
        <v>50.08</v>
      </c>
      <c r="W310">
        <v>45</v>
      </c>
      <c r="X310" s="3">
        <v>1.5651174568308011</v>
      </c>
      <c r="Y310" s="7">
        <v>6.228643455035222E-3</v>
      </c>
      <c r="Z310">
        <v>0.58208993045416701</v>
      </c>
      <c r="AA310"/>
      <c r="AB310"/>
    </row>
    <row r="311" spans="1:28" x14ac:dyDescent="0.3">
      <c r="A311" s="1" t="s">
        <v>326</v>
      </c>
      <c r="B311" s="1" t="s">
        <v>368</v>
      </c>
      <c r="C311" s="2">
        <v>45409</v>
      </c>
      <c r="D311" s="2">
        <v>45469</v>
      </c>
      <c r="E311" s="1" t="s">
        <v>375</v>
      </c>
      <c r="F311" s="1" t="s">
        <v>381</v>
      </c>
      <c r="G311" s="1" t="s">
        <v>385</v>
      </c>
      <c r="H311" s="1" t="s">
        <v>388</v>
      </c>
      <c r="I311">
        <v>28462.99</v>
      </c>
      <c r="J311">
        <v>1867189</v>
      </c>
      <c r="K311">
        <v>28734</v>
      </c>
      <c r="L311">
        <v>1996</v>
      </c>
      <c r="M311">
        <v>243380.8</v>
      </c>
      <c r="N311" s="1" t="s">
        <v>389</v>
      </c>
      <c r="O311">
        <v>6</v>
      </c>
      <c r="P311" s="8">
        <v>1.53889081394545E-2</v>
      </c>
      <c r="Q311" s="8">
        <v>6.9464745597549907E-2</v>
      </c>
      <c r="R311" s="1">
        <v>14.260015030060121</v>
      </c>
      <c r="S311" s="3">
        <v>8.5507812074557155</v>
      </c>
      <c r="T311" s="1">
        <v>214917.81</v>
      </c>
      <c r="U311" s="2">
        <v>45469</v>
      </c>
      <c r="V311" s="10">
        <v>53.06</v>
      </c>
      <c r="W311">
        <v>60</v>
      </c>
      <c r="X311" s="3">
        <v>8.4701329435511941</v>
      </c>
      <c r="Y311" s="7">
        <v>7.0126153295911639E-2</v>
      </c>
      <c r="Z311">
        <v>0.11694837883678599</v>
      </c>
      <c r="AA311"/>
      <c r="AB311"/>
    </row>
    <row r="312" spans="1:28" x14ac:dyDescent="0.3">
      <c r="A312" s="1" t="s">
        <v>327</v>
      </c>
      <c r="B312" s="1" t="s">
        <v>371</v>
      </c>
      <c r="C312" s="2">
        <v>45550</v>
      </c>
      <c r="D312" s="2">
        <v>45439</v>
      </c>
      <c r="E312" s="1" t="s">
        <v>375</v>
      </c>
      <c r="F312" s="1" t="s">
        <v>381</v>
      </c>
      <c r="G312" s="1" t="s">
        <v>384</v>
      </c>
      <c r="H312" s="1" t="s">
        <v>386</v>
      </c>
      <c r="I312">
        <v>91094.19</v>
      </c>
      <c r="J312">
        <v>1133094</v>
      </c>
      <c r="K312">
        <v>24173</v>
      </c>
      <c r="L312">
        <v>1747</v>
      </c>
      <c r="M312">
        <v>117715.27</v>
      </c>
      <c r="N312" s="1" t="s">
        <v>390</v>
      </c>
      <c r="O312">
        <v>8</v>
      </c>
      <c r="P312" s="8">
        <v>2.13336228062279E-2</v>
      </c>
      <c r="Q312" s="8">
        <v>7.2270715260828206E-2</v>
      </c>
      <c r="R312" s="1">
        <v>52.143211219232974</v>
      </c>
      <c r="S312" s="3">
        <v>1.2922368594528366</v>
      </c>
      <c r="T312" s="1">
        <v>26621.08</v>
      </c>
      <c r="U312" s="2">
        <v>45580</v>
      </c>
      <c r="V312" s="10">
        <v>73.64</v>
      </c>
      <c r="W312">
        <v>30</v>
      </c>
      <c r="X312" s="3">
        <v>4.8697004922847809</v>
      </c>
      <c r="Y312" s="7">
        <v>1.9177951963786053E-2</v>
      </c>
      <c r="Z312">
        <v>0.77385193951472897</v>
      </c>
      <c r="AA312"/>
      <c r="AB312"/>
    </row>
    <row r="313" spans="1:28" x14ac:dyDescent="0.3">
      <c r="A313" s="1" t="s">
        <v>328</v>
      </c>
      <c r="B313" s="1" t="s">
        <v>369</v>
      </c>
      <c r="C313" s="2">
        <v>45559</v>
      </c>
      <c r="D313" s="2">
        <v>45384</v>
      </c>
      <c r="E313" s="1" t="s">
        <v>373</v>
      </c>
      <c r="F313" s="1" t="s">
        <v>380</v>
      </c>
      <c r="G313" s="1" t="s">
        <v>382</v>
      </c>
      <c r="H313" s="1" t="s">
        <v>386</v>
      </c>
      <c r="I313">
        <v>28706.89</v>
      </c>
      <c r="J313">
        <v>103909</v>
      </c>
      <c r="K313">
        <v>31403</v>
      </c>
      <c r="L313">
        <v>477</v>
      </c>
      <c r="M313">
        <v>48166</v>
      </c>
      <c r="N313" s="1" t="s">
        <v>390</v>
      </c>
      <c r="O313">
        <v>8</v>
      </c>
      <c r="P313" s="8">
        <v>0.302216362394018</v>
      </c>
      <c r="Q313" s="8">
        <v>1.51896315638633E-2</v>
      </c>
      <c r="R313" s="1">
        <v>60.182159329140461</v>
      </c>
      <c r="S313" s="3">
        <v>1.677855037588537</v>
      </c>
      <c r="T313" s="1">
        <v>19459.11</v>
      </c>
      <c r="U313" s="2">
        <v>45589</v>
      </c>
      <c r="V313" s="10">
        <v>42.09</v>
      </c>
      <c r="W313">
        <v>30</v>
      </c>
      <c r="X313" s="3">
        <v>1.5338025029455784</v>
      </c>
      <c r="Y313" s="7">
        <v>1.6616220008506669E-2</v>
      </c>
      <c r="Z313">
        <v>0.59599904496947997</v>
      </c>
      <c r="AA313"/>
      <c r="AB313"/>
    </row>
    <row r="314" spans="1:28" x14ac:dyDescent="0.3">
      <c r="A314" s="1" t="s">
        <v>329</v>
      </c>
      <c r="B314" s="1" t="s">
        <v>370</v>
      </c>
      <c r="C314" s="2">
        <v>45345</v>
      </c>
      <c r="D314" s="2">
        <v>45510</v>
      </c>
      <c r="E314" s="1" t="s">
        <v>375</v>
      </c>
      <c r="F314" s="1" t="s">
        <v>380</v>
      </c>
      <c r="G314" s="1" t="s">
        <v>384</v>
      </c>
      <c r="H314" s="1" t="s">
        <v>386</v>
      </c>
      <c r="I314">
        <v>30835.22</v>
      </c>
      <c r="J314">
        <v>1903359</v>
      </c>
      <c r="K314">
        <v>1785</v>
      </c>
      <c r="L314">
        <v>1525</v>
      </c>
      <c r="M314">
        <v>53246.98</v>
      </c>
      <c r="N314" s="1" t="s">
        <v>389</v>
      </c>
      <c r="O314">
        <v>8</v>
      </c>
      <c r="P314" s="8">
        <v>9.3781572472665395E-4</v>
      </c>
      <c r="Q314" s="8">
        <v>0.85434173669467794</v>
      </c>
      <c r="R314" s="1">
        <v>20.219816393442624</v>
      </c>
      <c r="S314" s="3">
        <v>1.7268234181562512</v>
      </c>
      <c r="T314" s="1">
        <v>22411.760000000002</v>
      </c>
      <c r="U314" s="2">
        <v>45510</v>
      </c>
      <c r="V314" s="10">
        <v>75.66</v>
      </c>
      <c r="W314">
        <v>165</v>
      </c>
      <c r="X314" s="3">
        <v>29.830240896358546</v>
      </c>
      <c r="Y314" s="7">
        <v>4.9456433260408064E-2</v>
      </c>
      <c r="Z314">
        <v>0.57909800706068204</v>
      </c>
      <c r="AA314"/>
      <c r="AB314"/>
    </row>
    <row r="315" spans="1:28" x14ac:dyDescent="0.3">
      <c r="A315" s="1" t="s">
        <v>330</v>
      </c>
      <c r="B315" s="1" t="s">
        <v>371</v>
      </c>
      <c r="C315" s="2">
        <v>45527</v>
      </c>
      <c r="D315" s="2">
        <v>45370</v>
      </c>
      <c r="E315" s="1" t="s">
        <v>372</v>
      </c>
      <c r="F315" s="1" t="s">
        <v>381</v>
      </c>
      <c r="G315" s="1" t="s">
        <v>383</v>
      </c>
      <c r="H315" s="1" t="s">
        <v>388</v>
      </c>
      <c r="I315">
        <v>77142.83</v>
      </c>
      <c r="J315">
        <v>774984</v>
      </c>
      <c r="K315">
        <v>7139</v>
      </c>
      <c r="L315">
        <v>661</v>
      </c>
      <c r="M315">
        <v>33576.400000000001</v>
      </c>
      <c r="N315" s="1" t="s">
        <v>390</v>
      </c>
      <c r="O315">
        <v>5</v>
      </c>
      <c r="P315" s="8">
        <v>9.2118030823862204E-3</v>
      </c>
      <c r="Q315" s="8">
        <v>9.2589998599243606E-2</v>
      </c>
      <c r="R315" s="1">
        <v>116.70624810892588</v>
      </c>
      <c r="S315" s="3">
        <v>0.43524978277307175</v>
      </c>
      <c r="T315" s="1">
        <v>-43566.43</v>
      </c>
      <c r="U315" s="2">
        <v>45557</v>
      </c>
      <c r="V315" s="10">
        <v>20.28</v>
      </c>
      <c r="W315">
        <v>30</v>
      </c>
      <c r="X315" s="3">
        <v>4.7032357473035438</v>
      </c>
      <c r="Y315" s="7">
        <v>8.5685215333686868E-3</v>
      </c>
      <c r="Z315">
        <v>2.29753130174766</v>
      </c>
      <c r="AA315"/>
      <c r="AB315"/>
    </row>
    <row r="316" spans="1:28" x14ac:dyDescent="0.3">
      <c r="A316" s="1" t="s">
        <v>331</v>
      </c>
      <c r="B316" s="1" t="s">
        <v>370</v>
      </c>
      <c r="C316" s="2">
        <v>45513</v>
      </c>
      <c r="D316" s="2">
        <v>45578</v>
      </c>
      <c r="E316" s="1" t="s">
        <v>377</v>
      </c>
      <c r="F316" s="1" t="s">
        <v>378</v>
      </c>
      <c r="G316" s="1" t="s">
        <v>382</v>
      </c>
      <c r="H316" s="1" t="s">
        <v>387</v>
      </c>
      <c r="I316">
        <v>47725.29</v>
      </c>
      <c r="J316">
        <v>1020834</v>
      </c>
      <c r="K316">
        <v>7344</v>
      </c>
      <c r="L316">
        <v>1923</v>
      </c>
      <c r="M316">
        <v>202844.35</v>
      </c>
      <c r="N316" s="1" t="s">
        <v>390</v>
      </c>
      <c r="O316">
        <v>6</v>
      </c>
      <c r="P316" s="8">
        <v>7.1941177507802399E-3</v>
      </c>
      <c r="Q316" s="8">
        <v>0.26184640522875802</v>
      </c>
      <c r="R316" s="1">
        <v>24.818143525741029</v>
      </c>
      <c r="S316" s="3">
        <v>4.2502486627111118</v>
      </c>
      <c r="T316" s="1">
        <v>155119.06</v>
      </c>
      <c r="U316" s="2">
        <v>45578</v>
      </c>
      <c r="V316" s="10">
        <v>77.739999999999995</v>
      </c>
      <c r="W316">
        <v>65</v>
      </c>
      <c r="X316" s="3">
        <v>27.62041802832244</v>
      </c>
      <c r="Y316" s="7">
        <v>4.0293102462027997E-2</v>
      </c>
      <c r="Z316">
        <v>0.23528035165879699</v>
      </c>
      <c r="AA316"/>
      <c r="AB316"/>
    </row>
    <row r="317" spans="1:28" x14ac:dyDescent="0.3">
      <c r="A317" s="1" t="s">
        <v>332</v>
      </c>
      <c r="B317" s="1" t="s">
        <v>370</v>
      </c>
      <c r="C317" s="2">
        <v>45542</v>
      </c>
      <c r="D317" s="2">
        <v>45545</v>
      </c>
      <c r="E317" s="1" t="s">
        <v>372</v>
      </c>
      <c r="F317" s="1" t="s">
        <v>380</v>
      </c>
      <c r="G317" s="1" t="s">
        <v>385</v>
      </c>
      <c r="H317" s="1" t="s">
        <v>386</v>
      </c>
      <c r="I317">
        <v>78787.5</v>
      </c>
      <c r="J317">
        <v>565693</v>
      </c>
      <c r="K317">
        <v>19800</v>
      </c>
      <c r="L317">
        <v>960</v>
      </c>
      <c r="M317">
        <v>39287.32</v>
      </c>
      <c r="N317" s="1" t="s">
        <v>391</v>
      </c>
      <c r="O317">
        <v>4</v>
      </c>
      <c r="P317" s="8">
        <v>3.5001316968744499E-2</v>
      </c>
      <c r="Q317" s="8">
        <v>4.8484848484848499E-2</v>
      </c>
      <c r="R317" s="1">
        <v>82.0703125</v>
      </c>
      <c r="S317" s="3">
        <v>0.49864915119784231</v>
      </c>
      <c r="T317" s="1">
        <v>-39500.18</v>
      </c>
      <c r="U317" s="2">
        <v>45545</v>
      </c>
      <c r="V317" s="10">
        <v>20.010000000000002</v>
      </c>
      <c r="W317">
        <v>3</v>
      </c>
      <c r="X317" s="3">
        <v>1.9842080808080809</v>
      </c>
      <c r="Y317" s="7">
        <v>1.2184673964778677E-2</v>
      </c>
      <c r="Z317">
        <v>2.0054180330956699</v>
      </c>
      <c r="AA317"/>
      <c r="AB317"/>
    </row>
    <row r="318" spans="1:28" x14ac:dyDescent="0.3">
      <c r="A318" s="1" t="s">
        <v>333</v>
      </c>
      <c r="B318" s="1" t="s">
        <v>369</v>
      </c>
      <c r="C318" s="2">
        <v>45403</v>
      </c>
      <c r="D318" s="2">
        <v>45462</v>
      </c>
      <c r="E318" s="1" t="s">
        <v>373</v>
      </c>
      <c r="F318" s="1" t="s">
        <v>379</v>
      </c>
      <c r="G318" s="1" t="s">
        <v>383</v>
      </c>
      <c r="H318" s="1" t="s">
        <v>386</v>
      </c>
      <c r="I318">
        <v>11209.78</v>
      </c>
      <c r="J318">
        <v>589570</v>
      </c>
      <c r="K318">
        <v>26372</v>
      </c>
      <c r="L318">
        <v>868</v>
      </c>
      <c r="M318">
        <v>40030.06</v>
      </c>
      <c r="N318" s="1" t="s">
        <v>389</v>
      </c>
      <c r="O318">
        <v>7</v>
      </c>
      <c r="P318" s="8">
        <v>4.4730905575249801E-2</v>
      </c>
      <c r="Q318" s="8">
        <v>3.2913696344607897E-2</v>
      </c>
      <c r="R318" s="1">
        <v>12.914493087557604</v>
      </c>
      <c r="S318" s="3">
        <v>3.5709942568007573</v>
      </c>
      <c r="T318" s="1">
        <v>28820.28</v>
      </c>
      <c r="U318" s="2">
        <v>45462</v>
      </c>
      <c r="V318" s="10">
        <v>51.5</v>
      </c>
      <c r="W318">
        <v>59</v>
      </c>
      <c r="X318" s="3">
        <v>1.517900045502806</v>
      </c>
      <c r="Y318" s="7">
        <v>7.7432384935297568E-2</v>
      </c>
      <c r="Z318">
        <v>0.28003405440811202</v>
      </c>
      <c r="AA318"/>
      <c r="AB318"/>
    </row>
    <row r="319" spans="1:28" x14ac:dyDescent="0.3">
      <c r="A319" s="1" t="s">
        <v>334</v>
      </c>
      <c r="B319" s="1" t="s">
        <v>370</v>
      </c>
      <c r="C319" s="2">
        <v>45546</v>
      </c>
      <c r="D319" s="2">
        <v>45536</v>
      </c>
      <c r="E319" s="1" t="s">
        <v>372</v>
      </c>
      <c r="F319" s="1" t="s">
        <v>379</v>
      </c>
      <c r="G319" s="1" t="s">
        <v>385</v>
      </c>
      <c r="H319" s="1" t="s">
        <v>386</v>
      </c>
      <c r="I319">
        <v>51319.26</v>
      </c>
      <c r="J319">
        <v>1576658</v>
      </c>
      <c r="K319">
        <v>21538</v>
      </c>
      <c r="L319">
        <v>190</v>
      </c>
      <c r="M319">
        <v>214113.19</v>
      </c>
      <c r="N319" s="1" t="s">
        <v>389</v>
      </c>
      <c r="O319">
        <v>8</v>
      </c>
      <c r="P319" s="8">
        <v>1.36605402059292E-2</v>
      </c>
      <c r="Q319" s="8">
        <v>8.8216176060915592E-3</v>
      </c>
      <c r="R319" s="1">
        <v>270.10136842105265</v>
      </c>
      <c r="S319" s="3">
        <v>4.1721799963600406</v>
      </c>
      <c r="T319" s="1">
        <v>162793.93</v>
      </c>
      <c r="U319" s="2">
        <v>45576</v>
      </c>
      <c r="V319" s="10">
        <v>75.209999999999994</v>
      </c>
      <c r="W319">
        <v>30</v>
      </c>
      <c r="X319" s="3">
        <v>9.9411825610548803</v>
      </c>
      <c r="Y319" s="7">
        <v>3.7023137122398101E-3</v>
      </c>
      <c r="Z319">
        <v>0.23968285185980401</v>
      </c>
      <c r="AA319"/>
      <c r="AB319"/>
    </row>
    <row r="320" spans="1:28" x14ac:dyDescent="0.3">
      <c r="A320" s="1" t="s">
        <v>335</v>
      </c>
      <c r="B320" s="1" t="s">
        <v>370</v>
      </c>
      <c r="C320" s="2">
        <v>45498</v>
      </c>
      <c r="D320" s="2">
        <v>45532</v>
      </c>
      <c r="E320" s="1" t="s">
        <v>377</v>
      </c>
      <c r="F320" s="1" t="s">
        <v>379</v>
      </c>
      <c r="G320" s="1" t="s">
        <v>383</v>
      </c>
      <c r="H320" s="1" t="s">
        <v>386</v>
      </c>
      <c r="I320">
        <v>8193.2900000000009</v>
      </c>
      <c r="J320">
        <v>289017</v>
      </c>
      <c r="K320">
        <v>15973</v>
      </c>
      <c r="L320">
        <v>1156</v>
      </c>
      <c r="M320">
        <v>92704.98</v>
      </c>
      <c r="N320" s="1" t="s">
        <v>389</v>
      </c>
      <c r="O320">
        <v>8</v>
      </c>
      <c r="P320" s="8">
        <v>5.5266645214641398E-2</v>
      </c>
      <c r="Q320" s="8">
        <v>7.2372127965942501E-2</v>
      </c>
      <c r="R320" s="1">
        <v>7.087621107266437</v>
      </c>
      <c r="S320" s="3">
        <v>11.314744138191127</v>
      </c>
      <c r="T320" s="1">
        <v>84511.69</v>
      </c>
      <c r="U320" s="2">
        <v>45532</v>
      </c>
      <c r="V320" s="10">
        <v>67.47</v>
      </c>
      <c r="W320">
        <v>34</v>
      </c>
      <c r="X320" s="3">
        <v>5.8038552557440681</v>
      </c>
      <c r="Y320" s="7">
        <v>0.14109106354101952</v>
      </c>
      <c r="Z320">
        <v>8.8380257457582101E-2</v>
      </c>
      <c r="AA320"/>
      <c r="AB320"/>
    </row>
    <row r="321" spans="1:28" x14ac:dyDescent="0.3">
      <c r="A321" s="1" t="s">
        <v>336</v>
      </c>
      <c r="B321" s="1" t="s">
        <v>369</v>
      </c>
      <c r="C321" s="2">
        <v>45520</v>
      </c>
      <c r="D321" s="2">
        <v>45353</v>
      </c>
      <c r="E321" s="1" t="s">
        <v>376</v>
      </c>
      <c r="F321" s="1" t="s">
        <v>378</v>
      </c>
      <c r="G321" s="1" t="s">
        <v>382</v>
      </c>
      <c r="H321" s="1" t="s">
        <v>386</v>
      </c>
      <c r="I321">
        <v>10952.05</v>
      </c>
      <c r="J321">
        <v>464994</v>
      </c>
      <c r="K321">
        <v>6619</v>
      </c>
      <c r="L321">
        <v>226</v>
      </c>
      <c r="M321">
        <v>17405.900000000001</v>
      </c>
      <c r="N321" s="1" t="s">
        <v>389</v>
      </c>
      <c r="O321">
        <v>6</v>
      </c>
      <c r="P321" s="8">
        <v>1.4234592274308899E-2</v>
      </c>
      <c r="Q321" s="8">
        <v>3.4144130533313201E-2</v>
      </c>
      <c r="R321" s="1">
        <v>48.460398230088494</v>
      </c>
      <c r="S321" s="3">
        <v>1.5892823717934088</v>
      </c>
      <c r="T321" s="1">
        <v>6453.8500000000022</v>
      </c>
      <c r="U321" s="2">
        <v>45550</v>
      </c>
      <c r="V321" s="10">
        <v>75</v>
      </c>
      <c r="W321">
        <v>30</v>
      </c>
      <c r="X321" s="3">
        <v>2.6296872639371509</v>
      </c>
      <c r="Y321" s="7">
        <v>2.0635406156838218E-2</v>
      </c>
      <c r="Z321">
        <v>0.62921480647366701</v>
      </c>
      <c r="AA321"/>
      <c r="AB321"/>
    </row>
    <row r="322" spans="1:28" x14ac:dyDescent="0.3">
      <c r="A322" s="1" t="s">
        <v>337</v>
      </c>
      <c r="B322" s="1" t="s">
        <v>370</v>
      </c>
      <c r="C322" s="2">
        <v>45357</v>
      </c>
      <c r="D322" s="2">
        <v>45479</v>
      </c>
      <c r="E322" s="1" t="s">
        <v>373</v>
      </c>
      <c r="F322" s="1" t="s">
        <v>381</v>
      </c>
      <c r="G322" s="1" t="s">
        <v>385</v>
      </c>
      <c r="H322" s="1" t="s">
        <v>387</v>
      </c>
      <c r="I322">
        <v>91111.56</v>
      </c>
      <c r="J322">
        <v>991768</v>
      </c>
      <c r="K322">
        <v>35704</v>
      </c>
      <c r="L322">
        <v>247</v>
      </c>
      <c r="M322">
        <v>22454.87</v>
      </c>
      <c r="N322" s="1" t="s">
        <v>389</v>
      </c>
      <c r="O322">
        <v>6</v>
      </c>
      <c r="P322" s="8">
        <v>3.6000354921715598E-2</v>
      </c>
      <c r="Q322" s="8">
        <v>6.9179923818059597E-3</v>
      </c>
      <c r="R322" s="1">
        <v>368.87271255060728</v>
      </c>
      <c r="S322" s="3">
        <v>0.2464546760037914</v>
      </c>
      <c r="T322" s="1">
        <v>-68656.69</v>
      </c>
      <c r="U322" s="2">
        <v>45479</v>
      </c>
      <c r="V322" s="10">
        <v>35.72</v>
      </c>
      <c r="W322">
        <v>122</v>
      </c>
      <c r="X322" s="3">
        <v>0.62891748823661209</v>
      </c>
      <c r="Y322" s="7">
        <v>2.7109622533079227E-3</v>
      </c>
      <c r="Z322">
        <v>4.0575411926232503</v>
      </c>
      <c r="AA322"/>
      <c r="AB322"/>
    </row>
    <row r="323" spans="1:28" x14ac:dyDescent="0.3">
      <c r="A323" s="1" t="s">
        <v>338</v>
      </c>
      <c r="B323" s="1" t="s">
        <v>370</v>
      </c>
      <c r="C323" s="2">
        <v>45366</v>
      </c>
      <c r="D323" s="2">
        <v>45606</v>
      </c>
      <c r="E323" s="1" t="s">
        <v>376</v>
      </c>
      <c r="F323" s="1" t="s">
        <v>379</v>
      </c>
      <c r="G323" s="1" t="s">
        <v>385</v>
      </c>
      <c r="H323" s="1" t="s">
        <v>387</v>
      </c>
      <c r="I323">
        <v>18228.310000000001</v>
      </c>
      <c r="J323">
        <v>502891</v>
      </c>
      <c r="K323">
        <v>37575</v>
      </c>
      <c r="L323">
        <v>673</v>
      </c>
      <c r="M323">
        <v>44120.91</v>
      </c>
      <c r="N323" s="1" t="s">
        <v>390</v>
      </c>
      <c r="O323">
        <v>5</v>
      </c>
      <c r="P323" s="8">
        <v>7.4717980635962897E-2</v>
      </c>
      <c r="Q323" s="8">
        <v>1.7910844976713199E-2</v>
      </c>
      <c r="R323" s="1">
        <v>27.085156017830609</v>
      </c>
      <c r="S323" s="3">
        <v>2.4204608106840402</v>
      </c>
      <c r="T323" s="1">
        <v>25892.600000000002</v>
      </c>
      <c r="U323" s="2">
        <v>45606</v>
      </c>
      <c r="V323" s="10">
        <v>71.19</v>
      </c>
      <c r="W323">
        <v>240</v>
      </c>
      <c r="X323" s="3">
        <v>1.1742091816367266</v>
      </c>
      <c r="Y323" s="7">
        <v>3.6920592199715711E-2</v>
      </c>
      <c r="Z323">
        <v>0.413144470501628</v>
      </c>
      <c r="AA323"/>
      <c r="AB323"/>
    </row>
    <row r="324" spans="1:28" x14ac:dyDescent="0.3">
      <c r="A324" s="1" t="s">
        <v>339</v>
      </c>
      <c r="B324" s="1" t="s">
        <v>370</v>
      </c>
      <c r="C324" s="2">
        <v>45394</v>
      </c>
      <c r="D324" s="2">
        <v>45607</v>
      </c>
      <c r="E324" s="1" t="s">
        <v>374</v>
      </c>
      <c r="F324" s="1" t="s">
        <v>378</v>
      </c>
      <c r="G324" s="1" t="s">
        <v>383</v>
      </c>
      <c r="H324" s="1" t="s">
        <v>386</v>
      </c>
      <c r="I324">
        <v>55579.96</v>
      </c>
      <c r="J324">
        <v>1890083</v>
      </c>
      <c r="K324">
        <v>40919</v>
      </c>
      <c r="L324">
        <v>1641</v>
      </c>
      <c r="M324">
        <v>61214.400000000001</v>
      </c>
      <c r="N324" s="1" t="s">
        <v>391</v>
      </c>
      <c r="O324">
        <v>5</v>
      </c>
      <c r="P324" s="8">
        <v>2.1649313813202901E-2</v>
      </c>
      <c r="Q324" s="8">
        <v>4.0103619345536301E-2</v>
      </c>
      <c r="R324" s="1">
        <v>33.86956733698964</v>
      </c>
      <c r="S324" s="3">
        <v>1.1013753878196386</v>
      </c>
      <c r="T324" s="1">
        <v>5634.4400000000023</v>
      </c>
      <c r="U324" s="2">
        <v>45607</v>
      </c>
      <c r="V324" s="10">
        <v>60.12</v>
      </c>
      <c r="W324">
        <v>213</v>
      </c>
      <c r="X324" s="3">
        <v>1.4959896380654465</v>
      </c>
      <c r="Y324" s="7">
        <v>2.9525030244714104E-2</v>
      </c>
      <c r="Z324">
        <v>0.90795564442353405</v>
      </c>
      <c r="AA324"/>
      <c r="AB324"/>
    </row>
    <row r="325" spans="1:28" x14ac:dyDescent="0.3">
      <c r="A325" s="1" t="s">
        <v>340</v>
      </c>
      <c r="B325" s="1" t="s">
        <v>371</v>
      </c>
      <c r="C325" s="2">
        <v>45483</v>
      </c>
      <c r="D325" s="2">
        <v>45465</v>
      </c>
      <c r="E325" s="1" t="s">
        <v>376</v>
      </c>
      <c r="F325" s="1" t="s">
        <v>380</v>
      </c>
      <c r="G325" s="1" t="s">
        <v>385</v>
      </c>
      <c r="H325" s="1" t="s">
        <v>388</v>
      </c>
      <c r="I325">
        <v>44054.080000000002</v>
      </c>
      <c r="J325">
        <v>1567740</v>
      </c>
      <c r="K325">
        <v>43261</v>
      </c>
      <c r="L325">
        <v>740</v>
      </c>
      <c r="M325">
        <v>169635.09</v>
      </c>
      <c r="N325" s="1" t="s">
        <v>389</v>
      </c>
      <c r="O325">
        <v>8</v>
      </c>
      <c r="P325" s="8">
        <v>2.7594499087858999E-2</v>
      </c>
      <c r="Q325" s="8">
        <v>1.71054760638913E-2</v>
      </c>
      <c r="R325" s="1">
        <v>59.532540540540545</v>
      </c>
      <c r="S325" s="3">
        <v>3.850610204548591</v>
      </c>
      <c r="T325" s="1">
        <v>125581.01</v>
      </c>
      <c r="U325" s="2">
        <v>45513</v>
      </c>
      <c r="V325" s="10">
        <v>73.59</v>
      </c>
      <c r="W325">
        <v>30</v>
      </c>
      <c r="X325" s="3">
        <v>3.9212013129608652</v>
      </c>
      <c r="Y325" s="7">
        <v>1.6797536119242531E-2</v>
      </c>
      <c r="Z325">
        <v>0.25969909881263398</v>
      </c>
      <c r="AA325"/>
      <c r="AB325"/>
    </row>
    <row r="326" spans="1:28" x14ac:dyDescent="0.3">
      <c r="A326" s="1" t="s">
        <v>341</v>
      </c>
      <c r="B326" s="1" t="s">
        <v>371</v>
      </c>
      <c r="C326" s="2">
        <v>45543</v>
      </c>
      <c r="D326" s="2">
        <v>45340</v>
      </c>
      <c r="E326" s="1" t="s">
        <v>374</v>
      </c>
      <c r="F326" s="1" t="s">
        <v>381</v>
      </c>
      <c r="G326" s="1" t="s">
        <v>383</v>
      </c>
      <c r="H326" s="1" t="s">
        <v>387</v>
      </c>
      <c r="I326">
        <v>37997.620000000003</v>
      </c>
      <c r="J326">
        <v>1802390</v>
      </c>
      <c r="K326">
        <v>46123</v>
      </c>
      <c r="L326">
        <v>1494</v>
      </c>
      <c r="M326">
        <v>47758.31</v>
      </c>
      <c r="N326" s="1" t="s">
        <v>391</v>
      </c>
      <c r="O326">
        <v>6</v>
      </c>
      <c r="P326" s="8">
        <v>2.55899111734974E-2</v>
      </c>
      <c r="Q326" s="8">
        <v>3.2391648418359599E-2</v>
      </c>
      <c r="R326" s="1">
        <v>25.433480589022761</v>
      </c>
      <c r="S326" s="3">
        <v>1.2568763517293977</v>
      </c>
      <c r="T326" s="1">
        <v>9760.6899999999951</v>
      </c>
      <c r="U326" s="2">
        <v>45573</v>
      </c>
      <c r="V326" s="10">
        <v>18.16</v>
      </c>
      <c r="W326">
        <v>30</v>
      </c>
      <c r="X326" s="3">
        <v>1.0354554127008218</v>
      </c>
      <c r="Y326" s="7">
        <v>3.9318252037890793E-2</v>
      </c>
      <c r="Z326">
        <v>0.79562321196038999</v>
      </c>
      <c r="AA326"/>
      <c r="AB326"/>
    </row>
    <row r="327" spans="1:28" x14ac:dyDescent="0.3">
      <c r="A327" s="1" t="s">
        <v>342</v>
      </c>
      <c r="B327" s="1" t="s">
        <v>371</v>
      </c>
      <c r="C327" s="2">
        <v>45517</v>
      </c>
      <c r="D327" s="2">
        <v>45339</v>
      </c>
      <c r="E327" s="1" t="s">
        <v>374</v>
      </c>
      <c r="F327" s="1" t="s">
        <v>380</v>
      </c>
      <c r="G327" s="1" t="s">
        <v>383</v>
      </c>
      <c r="H327" s="1" t="s">
        <v>388</v>
      </c>
      <c r="I327">
        <v>90484.17</v>
      </c>
      <c r="J327">
        <v>1126941</v>
      </c>
      <c r="K327">
        <v>28716</v>
      </c>
      <c r="L327">
        <v>450</v>
      </c>
      <c r="M327">
        <v>38529.85</v>
      </c>
      <c r="N327" s="1" t="s">
        <v>391</v>
      </c>
      <c r="O327">
        <v>4</v>
      </c>
      <c r="P327" s="8">
        <v>2.5481369477195301E-2</v>
      </c>
      <c r="Q327" s="8">
        <v>1.56707062264939E-2</v>
      </c>
      <c r="R327" s="1">
        <v>201.07593333333332</v>
      </c>
      <c r="S327" s="3">
        <v>0.4258186818755148</v>
      </c>
      <c r="T327" s="1">
        <v>-51954.32</v>
      </c>
      <c r="U327" s="2">
        <v>45547</v>
      </c>
      <c r="V327" s="10">
        <v>29.27</v>
      </c>
      <c r="W327">
        <v>30</v>
      </c>
      <c r="X327" s="3">
        <v>1.3417554673352834</v>
      </c>
      <c r="Y327" s="7">
        <v>4.973245596439687E-3</v>
      </c>
      <c r="Z327">
        <v>2.3484173958632102</v>
      </c>
      <c r="AA327"/>
      <c r="AB327"/>
    </row>
    <row r="328" spans="1:28" x14ac:dyDescent="0.3">
      <c r="A328" s="1" t="s">
        <v>343</v>
      </c>
      <c r="B328" s="1" t="s">
        <v>369</v>
      </c>
      <c r="C328" s="2">
        <v>45585</v>
      </c>
      <c r="D328" s="2">
        <v>45578</v>
      </c>
      <c r="E328" s="1" t="s">
        <v>376</v>
      </c>
      <c r="F328" s="1" t="s">
        <v>378</v>
      </c>
      <c r="G328" s="1" t="s">
        <v>383</v>
      </c>
      <c r="H328" s="1" t="s">
        <v>387</v>
      </c>
      <c r="I328">
        <v>7073.22</v>
      </c>
      <c r="J328">
        <v>515982</v>
      </c>
      <c r="K328">
        <v>4236</v>
      </c>
      <c r="L328">
        <v>1771</v>
      </c>
      <c r="M328">
        <v>193532.59</v>
      </c>
      <c r="N328" s="1" t="s">
        <v>390</v>
      </c>
      <c r="O328">
        <v>7</v>
      </c>
      <c r="P328" s="8">
        <v>8.2095887065827908E-3</v>
      </c>
      <c r="Q328" s="8">
        <v>0.418083097261568</v>
      </c>
      <c r="R328" s="1">
        <v>3.993913043478261</v>
      </c>
      <c r="S328" s="3">
        <v>27.36131351774722</v>
      </c>
      <c r="T328" s="1">
        <v>186459.37</v>
      </c>
      <c r="U328" s="2">
        <v>45615</v>
      </c>
      <c r="V328" s="10">
        <v>51.78</v>
      </c>
      <c r="W328">
        <v>30</v>
      </c>
      <c r="X328" s="3">
        <v>45.687580264400374</v>
      </c>
      <c r="Y328" s="7">
        <v>0.25038101458741563</v>
      </c>
      <c r="Z328">
        <v>3.6547952983009203E-2</v>
      </c>
      <c r="AA328"/>
      <c r="AB328"/>
    </row>
    <row r="329" spans="1:28" x14ac:dyDescent="0.3">
      <c r="A329" s="1" t="s">
        <v>344</v>
      </c>
      <c r="B329" s="1" t="s">
        <v>368</v>
      </c>
      <c r="C329" s="2">
        <v>45389</v>
      </c>
      <c r="D329" s="2">
        <v>45399</v>
      </c>
      <c r="E329" s="1" t="s">
        <v>373</v>
      </c>
      <c r="F329" s="1" t="s">
        <v>379</v>
      </c>
      <c r="G329" s="1" t="s">
        <v>383</v>
      </c>
      <c r="H329" s="1" t="s">
        <v>386</v>
      </c>
      <c r="I329">
        <v>68060.02</v>
      </c>
      <c r="J329">
        <v>491416</v>
      </c>
      <c r="K329">
        <v>16848</v>
      </c>
      <c r="L329">
        <v>520</v>
      </c>
      <c r="M329">
        <v>171053.27</v>
      </c>
      <c r="N329" s="1" t="s">
        <v>389</v>
      </c>
      <c r="O329">
        <v>6</v>
      </c>
      <c r="P329" s="8">
        <v>3.4284597978087798E-2</v>
      </c>
      <c r="Q329" s="8">
        <v>3.0864197530864199E-2</v>
      </c>
      <c r="R329" s="1">
        <v>130.88465384615387</v>
      </c>
      <c r="S329" s="3">
        <v>2.513270933508394</v>
      </c>
      <c r="T329" s="1">
        <v>102993.24999999999</v>
      </c>
      <c r="U329" s="2">
        <v>45399</v>
      </c>
      <c r="V329" s="10">
        <v>33.99</v>
      </c>
      <c r="W329">
        <v>10</v>
      </c>
      <c r="X329" s="3">
        <v>10.152734449192781</v>
      </c>
      <c r="Y329" s="7">
        <v>7.6403151218586178E-3</v>
      </c>
      <c r="Z329">
        <v>0.39788786265237702</v>
      </c>
      <c r="AA329"/>
      <c r="AB329"/>
    </row>
    <row r="330" spans="1:28" x14ac:dyDescent="0.3">
      <c r="A330" s="1" t="s">
        <v>345</v>
      </c>
      <c r="B330" s="1" t="s">
        <v>370</v>
      </c>
      <c r="C330" s="2">
        <v>45577</v>
      </c>
      <c r="D330" s="2">
        <v>45496</v>
      </c>
      <c r="E330" s="1" t="s">
        <v>377</v>
      </c>
      <c r="F330" s="1" t="s">
        <v>379</v>
      </c>
      <c r="G330" s="1" t="s">
        <v>382</v>
      </c>
      <c r="H330" s="1" t="s">
        <v>387</v>
      </c>
      <c r="I330">
        <v>96522.47</v>
      </c>
      <c r="J330">
        <v>323146</v>
      </c>
      <c r="K330">
        <v>3352</v>
      </c>
      <c r="L330">
        <v>267</v>
      </c>
      <c r="M330">
        <v>114477.81</v>
      </c>
      <c r="N330" s="1" t="s">
        <v>390</v>
      </c>
      <c r="O330">
        <v>6</v>
      </c>
      <c r="P330" s="8">
        <v>1.0373020244719099E-2</v>
      </c>
      <c r="Q330" s="8">
        <v>7.9653937947493994E-2</v>
      </c>
      <c r="R330" s="1">
        <v>361.50737827715358</v>
      </c>
      <c r="S330" s="3">
        <v>1.1860223842178925</v>
      </c>
      <c r="T330" s="1">
        <v>17955.339999999997</v>
      </c>
      <c r="U330" s="2">
        <v>45607</v>
      </c>
      <c r="V330" s="10">
        <v>53.59</v>
      </c>
      <c r="W330">
        <v>30</v>
      </c>
      <c r="X330" s="3">
        <v>34.152091288782813</v>
      </c>
      <c r="Y330" s="7">
        <v>2.7661952703862632E-3</v>
      </c>
      <c r="Z330">
        <v>0.84315440695450095</v>
      </c>
      <c r="AA330"/>
      <c r="AB330"/>
    </row>
    <row r="331" spans="1:28" x14ac:dyDescent="0.3">
      <c r="A331" s="1" t="s">
        <v>346</v>
      </c>
      <c r="B331" s="1" t="s">
        <v>370</v>
      </c>
      <c r="C331" s="2">
        <v>45540</v>
      </c>
      <c r="D331" s="2">
        <v>45515</v>
      </c>
      <c r="E331" s="1" t="s">
        <v>372</v>
      </c>
      <c r="F331" s="1" t="s">
        <v>378</v>
      </c>
      <c r="G331" s="1" t="s">
        <v>383</v>
      </c>
      <c r="H331" s="1" t="s">
        <v>386</v>
      </c>
      <c r="I331">
        <v>58215.98</v>
      </c>
      <c r="J331">
        <v>1374667</v>
      </c>
      <c r="K331">
        <v>2932</v>
      </c>
      <c r="L331">
        <v>1998</v>
      </c>
      <c r="M331">
        <v>141834.35</v>
      </c>
      <c r="N331" s="1" t="s">
        <v>389</v>
      </c>
      <c r="O331">
        <v>9</v>
      </c>
      <c r="P331" s="8">
        <v>2.1328801811638701E-3</v>
      </c>
      <c r="Q331" s="8">
        <v>0.68144611186903103</v>
      </c>
      <c r="R331" s="1">
        <v>29.13712712712713</v>
      </c>
      <c r="S331" s="3">
        <v>2.4363473740371631</v>
      </c>
      <c r="T331" s="1">
        <v>83618.37</v>
      </c>
      <c r="U331" s="2">
        <v>45570</v>
      </c>
      <c r="V331" s="10">
        <v>64.540000000000006</v>
      </c>
      <c r="W331">
        <v>30</v>
      </c>
      <c r="X331" s="3">
        <v>48.374607776261939</v>
      </c>
      <c r="Y331" s="7">
        <v>3.4320473519470082E-2</v>
      </c>
      <c r="Z331">
        <v>0.41045050088360102</v>
      </c>
      <c r="AA331"/>
      <c r="AB331"/>
    </row>
    <row r="332" spans="1:28" x14ac:dyDescent="0.3">
      <c r="A332" s="1" t="s">
        <v>347</v>
      </c>
      <c r="B332" s="1" t="s">
        <v>369</v>
      </c>
      <c r="C332" s="2">
        <v>45457</v>
      </c>
      <c r="D332" s="2">
        <v>45434</v>
      </c>
      <c r="E332" s="1" t="s">
        <v>372</v>
      </c>
      <c r="F332" s="1" t="s">
        <v>379</v>
      </c>
      <c r="G332" s="1" t="s">
        <v>384</v>
      </c>
      <c r="H332" s="1" t="s">
        <v>387</v>
      </c>
      <c r="I332">
        <v>93998.13</v>
      </c>
      <c r="J332">
        <v>1308870</v>
      </c>
      <c r="K332">
        <v>11913</v>
      </c>
      <c r="L332">
        <v>978</v>
      </c>
      <c r="M332">
        <v>84876.160000000003</v>
      </c>
      <c r="N332" s="1" t="s">
        <v>390</v>
      </c>
      <c r="O332">
        <v>5</v>
      </c>
      <c r="P332" s="8">
        <v>9.1017442526759706E-3</v>
      </c>
      <c r="Q332" s="8">
        <v>8.2095190128431098E-2</v>
      </c>
      <c r="R332" s="1">
        <v>96.1126073619632</v>
      </c>
      <c r="S332" s="3">
        <v>0.90295583539800206</v>
      </c>
      <c r="T332" s="1">
        <v>-9121.9700000000012</v>
      </c>
      <c r="U332" s="2">
        <v>45487</v>
      </c>
      <c r="V332" s="10">
        <v>79.81</v>
      </c>
      <c r="W332">
        <v>30</v>
      </c>
      <c r="X332" s="3">
        <v>7.1246671703181406</v>
      </c>
      <c r="Y332" s="7">
        <v>1.0404462301537274E-2</v>
      </c>
      <c r="Z332">
        <v>1.1074738772347901</v>
      </c>
      <c r="AA332"/>
      <c r="AB332"/>
    </row>
    <row r="333" spans="1:28" x14ac:dyDescent="0.3">
      <c r="A333" s="1" t="s">
        <v>348</v>
      </c>
      <c r="B333" s="1" t="s">
        <v>370</v>
      </c>
      <c r="C333" s="2">
        <v>45321</v>
      </c>
      <c r="D333" s="2">
        <v>45435</v>
      </c>
      <c r="E333" s="1" t="s">
        <v>377</v>
      </c>
      <c r="F333" s="1" t="s">
        <v>381</v>
      </c>
      <c r="G333" s="1" t="s">
        <v>385</v>
      </c>
      <c r="H333" s="1" t="s">
        <v>386</v>
      </c>
      <c r="I333">
        <v>9964.5</v>
      </c>
      <c r="J333">
        <v>1979848</v>
      </c>
      <c r="K333">
        <v>9556</v>
      </c>
      <c r="L333">
        <v>1901</v>
      </c>
      <c r="M333">
        <v>125800.1</v>
      </c>
      <c r="N333" s="1" t="s">
        <v>391</v>
      </c>
      <c r="O333">
        <v>7</v>
      </c>
      <c r="P333" s="8">
        <v>4.8266331556766004E-3</v>
      </c>
      <c r="Q333" s="8">
        <v>0.198932607785684</v>
      </c>
      <c r="R333" s="1">
        <v>5.2417148869016303</v>
      </c>
      <c r="S333" s="3">
        <v>12.624828139896634</v>
      </c>
      <c r="T333" s="1">
        <v>115835.6</v>
      </c>
      <c r="U333" s="2">
        <v>45435</v>
      </c>
      <c r="V333" s="10">
        <v>38.479999999999997</v>
      </c>
      <c r="W333">
        <v>114</v>
      </c>
      <c r="X333" s="3">
        <v>13.164514441188782</v>
      </c>
      <c r="Y333" s="7">
        <v>0.19077725927040995</v>
      </c>
      <c r="Z333">
        <v>7.9208999038951497E-2</v>
      </c>
      <c r="AA333"/>
      <c r="AB333"/>
    </row>
    <row r="334" spans="1:28" x14ac:dyDescent="0.3">
      <c r="A334" s="1" t="s">
        <v>349</v>
      </c>
      <c r="B334" s="1" t="s">
        <v>371</v>
      </c>
      <c r="C334" s="2">
        <v>45538</v>
      </c>
      <c r="D334" s="2">
        <v>45543</v>
      </c>
      <c r="E334" s="1" t="s">
        <v>374</v>
      </c>
      <c r="F334" s="1" t="s">
        <v>378</v>
      </c>
      <c r="G334" s="1" t="s">
        <v>384</v>
      </c>
      <c r="H334" s="1" t="s">
        <v>386</v>
      </c>
      <c r="I334">
        <v>44785.37</v>
      </c>
      <c r="J334">
        <v>1214795</v>
      </c>
      <c r="K334">
        <v>22300</v>
      </c>
      <c r="L334">
        <v>1802</v>
      </c>
      <c r="M334">
        <v>131601.44</v>
      </c>
      <c r="N334" s="1" t="s">
        <v>389</v>
      </c>
      <c r="O334">
        <v>8</v>
      </c>
      <c r="P334" s="8">
        <v>1.8357006737762301E-2</v>
      </c>
      <c r="Q334" s="8">
        <v>8.0807174887892394E-2</v>
      </c>
      <c r="R334" s="1">
        <v>24.853146503884574</v>
      </c>
      <c r="S334" s="3">
        <v>2.9384917440673148</v>
      </c>
      <c r="T334" s="1">
        <v>86816.07</v>
      </c>
      <c r="U334" s="2">
        <v>45543</v>
      </c>
      <c r="V334" s="10">
        <v>20.09</v>
      </c>
      <c r="W334">
        <v>5</v>
      </c>
      <c r="X334" s="3">
        <v>5.9014098654708524</v>
      </c>
      <c r="Y334" s="7">
        <v>4.0236353970057627E-2</v>
      </c>
      <c r="Z334">
        <v>0.34031063793830801</v>
      </c>
      <c r="AA334"/>
      <c r="AB334"/>
    </row>
    <row r="335" spans="1:28" x14ac:dyDescent="0.3">
      <c r="A335" s="1" t="s">
        <v>350</v>
      </c>
      <c r="B335" s="1" t="s">
        <v>368</v>
      </c>
      <c r="C335" s="2">
        <v>45397</v>
      </c>
      <c r="D335" s="2">
        <v>45487</v>
      </c>
      <c r="E335" s="1" t="s">
        <v>374</v>
      </c>
      <c r="F335" s="1" t="s">
        <v>380</v>
      </c>
      <c r="G335" s="1" t="s">
        <v>382</v>
      </c>
      <c r="H335" s="1" t="s">
        <v>386</v>
      </c>
      <c r="I335">
        <v>29714.99</v>
      </c>
      <c r="J335">
        <v>1439330</v>
      </c>
      <c r="K335">
        <v>6498</v>
      </c>
      <c r="L335">
        <v>681</v>
      </c>
      <c r="M335">
        <v>102936.95</v>
      </c>
      <c r="N335" s="1" t="s">
        <v>391</v>
      </c>
      <c r="O335">
        <v>6</v>
      </c>
      <c r="P335" s="8">
        <v>4.5146005433083398E-3</v>
      </c>
      <c r="Q335" s="8">
        <v>0.10480147737765499</v>
      </c>
      <c r="R335" s="1">
        <v>43.634346549192365</v>
      </c>
      <c r="S335" s="3">
        <v>3.4641421720148649</v>
      </c>
      <c r="T335" s="1">
        <v>73221.959999999992</v>
      </c>
      <c r="U335" s="2">
        <v>45487</v>
      </c>
      <c r="V335" s="10">
        <v>28.8</v>
      </c>
      <c r="W335">
        <v>90</v>
      </c>
      <c r="X335" s="3">
        <v>15.84132810095414</v>
      </c>
      <c r="Y335" s="7">
        <v>2.2917726036589613E-2</v>
      </c>
      <c r="Z335">
        <v>0.28867175489462199</v>
      </c>
      <c r="AA335"/>
      <c r="AB335"/>
    </row>
    <row r="336" spans="1:28" x14ac:dyDescent="0.3">
      <c r="A336" s="1" t="s">
        <v>351</v>
      </c>
      <c r="B336" s="1" t="s">
        <v>367</v>
      </c>
      <c r="C336" s="2">
        <v>45342</v>
      </c>
      <c r="D336" s="2">
        <v>45453</v>
      </c>
      <c r="E336" s="1" t="s">
        <v>373</v>
      </c>
      <c r="F336" s="1" t="s">
        <v>378</v>
      </c>
      <c r="G336" s="1" t="s">
        <v>384</v>
      </c>
      <c r="H336" s="1" t="s">
        <v>386</v>
      </c>
      <c r="I336">
        <v>74427.990000000005</v>
      </c>
      <c r="J336">
        <v>888574</v>
      </c>
      <c r="K336">
        <v>11582</v>
      </c>
      <c r="L336">
        <v>1000</v>
      </c>
      <c r="M336">
        <v>227577.33</v>
      </c>
      <c r="N336" s="1" t="s">
        <v>391</v>
      </c>
      <c r="O336">
        <v>8</v>
      </c>
      <c r="P336" s="8">
        <v>1.3034367424660199E-2</v>
      </c>
      <c r="Q336" s="8">
        <v>8.6340873769642598E-2</v>
      </c>
      <c r="R336" s="1">
        <v>74.427990000000008</v>
      </c>
      <c r="S336" s="3">
        <v>3.0576847500516937</v>
      </c>
      <c r="T336" s="1">
        <v>153149.33999999997</v>
      </c>
      <c r="U336" s="2">
        <v>45453</v>
      </c>
      <c r="V336" s="10">
        <v>48.97</v>
      </c>
      <c r="W336">
        <v>111</v>
      </c>
      <c r="X336" s="3">
        <v>19.649225522362286</v>
      </c>
      <c r="Y336" s="7">
        <v>1.3435805534987575E-2</v>
      </c>
      <c r="Z336">
        <v>0.327044833507802</v>
      </c>
      <c r="AA336"/>
      <c r="AB336"/>
    </row>
    <row r="337" spans="1:28" x14ac:dyDescent="0.3">
      <c r="A337" s="1" t="s">
        <v>352</v>
      </c>
      <c r="B337" s="1" t="s">
        <v>370</v>
      </c>
      <c r="C337" s="2">
        <v>45372</v>
      </c>
      <c r="D337" s="2">
        <v>45585</v>
      </c>
      <c r="E337" s="1" t="s">
        <v>375</v>
      </c>
      <c r="F337" s="1" t="s">
        <v>381</v>
      </c>
      <c r="G337" s="1" t="s">
        <v>385</v>
      </c>
      <c r="H337" s="1" t="s">
        <v>388</v>
      </c>
      <c r="I337">
        <v>98223.22</v>
      </c>
      <c r="J337">
        <v>630595</v>
      </c>
      <c r="K337">
        <v>47633</v>
      </c>
      <c r="L337">
        <v>955</v>
      </c>
      <c r="M337">
        <v>13854.85</v>
      </c>
      <c r="N337" s="1" t="s">
        <v>390</v>
      </c>
      <c r="O337">
        <v>6</v>
      </c>
      <c r="P337" s="8">
        <v>7.5536596389124605E-2</v>
      </c>
      <c r="Q337" s="8">
        <v>2.0049125606197399E-2</v>
      </c>
      <c r="R337" s="1">
        <v>102.85153926701571</v>
      </c>
      <c r="S337" s="3">
        <v>0.14105473227206358</v>
      </c>
      <c r="T337" s="1">
        <v>-84368.37</v>
      </c>
      <c r="U337" s="2">
        <v>45585</v>
      </c>
      <c r="V337" s="10">
        <v>22.8</v>
      </c>
      <c r="W337">
        <v>213</v>
      </c>
      <c r="X337" s="3">
        <v>0.29086662607855901</v>
      </c>
      <c r="Y337" s="7">
        <v>9.7227519114115781E-3</v>
      </c>
      <c r="Z337">
        <v>7.0894466558641902</v>
      </c>
      <c r="AA337"/>
      <c r="AB337"/>
    </row>
    <row r="338" spans="1:28" x14ac:dyDescent="0.3">
      <c r="A338" s="1" t="s">
        <v>353</v>
      </c>
      <c r="B338" s="1" t="s">
        <v>371</v>
      </c>
      <c r="C338" s="2">
        <v>45424</v>
      </c>
      <c r="D338" s="2">
        <v>45376</v>
      </c>
      <c r="E338" s="1" t="s">
        <v>376</v>
      </c>
      <c r="F338" s="1" t="s">
        <v>381</v>
      </c>
      <c r="G338" s="1" t="s">
        <v>384</v>
      </c>
      <c r="H338" s="1" t="s">
        <v>386</v>
      </c>
      <c r="I338">
        <v>29370.36</v>
      </c>
      <c r="J338">
        <v>1234141</v>
      </c>
      <c r="K338">
        <v>10569</v>
      </c>
      <c r="L338">
        <v>224</v>
      </c>
      <c r="M338">
        <v>197721.1</v>
      </c>
      <c r="N338" s="1" t="s">
        <v>389</v>
      </c>
      <c r="O338">
        <v>8</v>
      </c>
      <c r="P338" s="8">
        <v>8.5638512941390004E-3</v>
      </c>
      <c r="Q338" s="8">
        <v>2.11940580944271E-2</v>
      </c>
      <c r="R338" s="1">
        <v>131.11767857142857</v>
      </c>
      <c r="S338" s="3">
        <v>6.7319944324822716</v>
      </c>
      <c r="T338" s="1">
        <v>168350.74</v>
      </c>
      <c r="U338" s="2">
        <v>45454</v>
      </c>
      <c r="V338" s="10">
        <v>28.27</v>
      </c>
      <c r="W338">
        <v>30</v>
      </c>
      <c r="X338" s="3">
        <v>18.70764499952692</v>
      </c>
      <c r="Y338" s="7">
        <v>7.6267366147367618E-3</v>
      </c>
      <c r="Z338">
        <v>0.14854438904092701</v>
      </c>
      <c r="AA338"/>
      <c r="AB338"/>
    </row>
    <row r="339" spans="1:28" x14ac:dyDescent="0.3">
      <c r="A339" s="1" t="s">
        <v>354</v>
      </c>
      <c r="B339" s="1" t="s">
        <v>367</v>
      </c>
      <c r="C339" s="2">
        <v>45576</v>
      </c>
      <c r="D339" s="2">
        <v>45452</v>
      </c>
      <c r="E339" s="1" t="s">
        <v>374</v>
      </c>
      <c r="F339" s="1" t="s">
        <v>378</v>
      </c>
      <c r="G339" s="1" t="s">
        <v>382</v>
      </c>
      <c r="H339" s="1" t="s">
        <v>388</v>
      </c>
      <c r="I339">
        <v>67146.59</v>
      </c>
      <c r="J339">
        <v>829383</v>
      </c>
      <c r="K339">
        <v>5857</v>
      </c>
      <c r="L339">
        <v>72</v>
      </c>
      <c r="M339">
        <v>39851.879999999997</v>
      </c>
      <c r="N339" s="1" t="s">
        <v>391</v>
      </c>
      <c r="O339">
        <v>7</v>
      </c>
      <c r="P339" s="8">
        <v>7.06187611754762E-3</v>
      </c>
      <c r="Q339" s="8">
        <v>1.2292982755676999E-2</v>
      </c>
      <c r="R339" s="1">
        <v>932.59152777777774</v>
      </c>
      <c r="S339" s="3">
        <v>0.59350564190973809</v>
      </c>
      <c r="T339" s="1">
        <v>-27294.71</v>
      </c>
      <c r="U339" s="2">
        <v>45606</v>
      </c>
      <c r="V339" s="10">
        <v>67.86</v>
      </c>
      <c r="W339">
        <v>30</v>
      </c>
      <c r="X339" s="3">
        <v>6.8041454669626082</v>
      </c>
      <c r="Y339" s="7">
        <v>1.0722808112817047E-3</v>
      </c>
      <c r="Z339">
        <v>1.6849039493243501</v>
      </c>
      <c r="AA339"/>
      <c r="AB339"/>
    </row>
    <row r="340" spans="1:28" x14ac:dyDescent="0.3">
      <c r="A340" s="1" t="s">
        <v>355</v>
      </c>
      <c r="B340" s="1" t="s">
        <v>368</v>
      </c>
      <c r="C340" s="2">
        <v>45429</v>
      </c>
      <c r="D340" s="2">
        <v>45609</v>
      </c>
      <c r="E340" s="1" t="s">
        <v>372</v>
      </c>
      <c r="F340" s="1" t="s">
        <v>378</v>
      </c>
      <c r="G340" s="1" t="s">
        <v>383</v>
      </c>
      <c r="H340" s="1" t="s">
        <v>388</v>
      </c>
      <c r="I340">
        <v>23819.279999999999</v>
      </c>
      <c r="J340">
        <v>362229</v>
      </c>
      <c r="K340">
        <v>1340</v>
      </c>
      <c r="L340">
        <v>1122</v>
      </c>
      <c r="M340">
        <v>201411.37</v>
      </c>
      <c r="N340" s="1" t="s">
        <v>390</v>
      </c>
      <c r="O340">
        <v>5</v>
      </c>
      <c r="P340" s="8">
        <v>3.6993172827134201E-3</v>
      </c>
      <c r="Q340" s="8">
        <v>0.83731343283582105</v>
      </c>
      <c r="R340" s="1">
        <v>21.229304812834222</v>
      </c>
      <c r="S340" s="3">
        <v>8.4558126861937062</v>
      </c>
      <c r="T340" s="1">
        <v>177592.09</v>
      </c>
      <c r="U340" s="2">
        <v>45609</v>
      </c>
      <c r="V340" s="10">
        <v>43.92</v>
      </c>
      <c r="W340">
        <v>180</v>
      </c>
      <c r="X340" s="3">
        <v>150.30699253731342</v>
      </c>
      <c r="Y340" s="7">
        <v>4.710469837879231E-2</v>
      </c>
      <c r="Z340">
        <v>0.11826184390682599</v>
      </c>
      <c r="AA340"/>
      <c r="AB340"/>
    </row>
    <row r="341" spans="1:28" x14ac:dyDescent="0.3">
      <c r="A341" s="1" t="s">
        <v>356</v>
      </c>
      <c r="B341" s="1" t="s">
        <v>367</v>
      </c>
      <c r="C341" s="2">
        <v>45475</v>
      </c>
      <c r="D341" s="2">
        <v>45587</v>
      </c>
      <c r="E341" s="1" t="s">
        <v>373</v>
      </c>
      <c r="F341" s="1" t="s">
        <v>379</v>
      </c>
      <c r="G341" s="1" t="s">
        <v>384</v>
      </c>
      <c r="H341" s="1" t="s">
        <v>386</v>
      </c>
      <c r="I341">
        <v>58706.37</v>
      </c>
      <c r="J341">
        <v>608516</v>
      </c>
      <c r="K341">
        <v>44949</v>
      </c>
      <c r="L341">
        <v>1990</v>
      </c>
      <c r="M341">
        <v>157818.85999999999</v>
      </c>
      <c r="N341" s="1" t="s">
        <v>389</v>
      </c>
      <c r="O341">
        <v>7</v>
      </c>
      <c r="P341" s="8">
        <v>7.38665869097936E-2</v>
      </c>
      <c r="Q341" s="8">
        <v>4.4272397606175899E-2</v>
      </c>
      <c r="R341" s="1">
        <v>29.500688442211057</v>
      </c>
      <c r="S341" s="3">
        <v>2.6882748839691497</v>
      </c>
      <c r="T341" s="1">
        <v>99112.489999999991</v>
      </c>
      <c r="U341" s="2">
        <v>45587</v>
      </c>
      <c r="V341" s="10">
        <v>25.44</v>
      </c>
      <c r="W341">
        <v>112</v>
      </c>
      <c r="X341" s="3">
        <v>3.5110649847605062</v>
      </c>
      <c r="Y341" s="7">
        <v>3.3897514017644077E-2</v>
      </c>
      <c r="Z341">
        <v>0.37198576900124602</v>
      </c>
      <c r="AA341"/>
      <c r="AB341"/>
    </row>
    <row r="342" spans="1:28" x14ac:dyDescent="0.3">
      <c r="A342" s="1" t="s">
        <v>357</v>
      </c>
      <c r="B342" s="1" t="s">
        <v>371</v>
      </c>
      <c r="C342" s="2">
        <v>45564</v>
      </c>
      <c r="D342" s="2">
        <v>45483</v>
      </c>
      <c r="E342" s="1" t="s">
        <v>376</v>
      </c>
      <c r="F342" s="1" t="s">
        <v>381</v>
      </c>
      <c r="G342" s="1" t="s">
        <v>382</v>
      </c>
      <c r="H342" s="1" t="s">
        <v>388</v>
      </c>
      <c r="I342">
        <v>49073.59</v>
      </c>
      <c r="J342">
        <v>785036</v>
      </c>
      <c r="K342">
        <v>17766</v>
      </c>
      <c r="L342">
        <v>284</v>
      </c>
      <c r="M342">
        <v>212386.74</v>
      </c>
      <c r="N342" s="1" t="s">
        <v>389</v>
      </c>
      <c r="O342">
        <v>9</v>
      </c>
      <c r="P342" s="8">
        <v>2.26308092877269E-2</v>
      </c>
      <c r="Q342" s="8">
        <v>1.5985590453675601E-2</v>
      </c>
      <c r="R342" s="1">
        <v>172.79433098591548</v>
      </c>
      <c r="S342" s="3">
        <v>4.3279234309126355</v>
      </c>
      <c r="T342" s="1">
        <v>163313.15</v>
      </c>
      <c r="U342" s="2">
        <v>45594</v>
      </c>
      <c r="V342" s="10">
        <v>51.66</v>
      </c>
      <c r="W342">
        <v>30</v>
      </c>
      <c r="X342" s="3">
        <v>11.95467409658899</v>
      </c>
      <c r="Y342" s="7">
        <v>5.7872268974004147E-3</v>
      </c>
      <c r="Z342">
        <v>0.231057692208092</v>
      </c>
      <c r="AA342"/>
      <c r="AB342"/>
    </row>
    <row r="343" spans="1:28" x14ac:dyDescent="0.3">
      <c r="A343" s="1" t="s">
        <v>358</v>
      </c>
      <c r="B343" s="1" t="s">
        <v>367</v>
      </c>
      <c r="C343" s="2">
        <v>45360</v>
      </c>
      <c r="D343" s="2">
        <v>45408</v>
      </c>
      <c r="E343" s="1" t="s">
        <v>373</v>
      </c>
      <c r="F343" s="1" t="s">
        <v>378</v>
      </c>
      <c r="G343" s="1" t="s">
        <v>382</v>
      </c>
      <c r="H343" s="1" t="s">
        <v>387</v>
      </c>
      <c r="I343">
        <v>97340.51</v>
      </c>
      <c r="J343">
        <v>1523447</v>
      </c>
      <c r="K343">
        <v>27132</v>
      </c>
      <c r="L343">
        <v>1086</v>
      </c>
      <c r="M343">
        <v>33403.440000000002</v>
      </c>
      <c r="N343" s="1" t="s">
        <v>391</v>
      </c>
      <c r="O343">
        <v>4</v>
      </c>
      <c r="P343" s="8">
        <v>1.7809612018009201E-2</v>
      </c>
      <c r="Q343" s="8">
        <v>4.0026536930561699E-2</v>
      </c>
      <c r="R343" s="1">
        <v>89.632145488029465</v>
      </c>
      <c r="S343" s="3">
        <v>0.34316072516981888</v>
      </c>
      <c r="T343" s="1">
        <v>-63937.069999999992</v>
      </c>
      <c r="U343" s="2">
        <v>45408</v>
      </c>
      <c r="V343" s="10">
        <v>36.049999999999997</v>
      </c>
      <c r="W343">
        <v>48</v>
      </c>
      <c r="X343" s="3">
        <v>1.2311455108359135</v>
      </c>
      <c r="Y343" s="7">
        <v>1.1156711630132203E-2</v>
      </c>
      <c r="Z343">
        <v>2.9140863934971999</v>
      </c>
      <c r="AA343"/>
      <c r="AB343"/>
    </row>
    <row r="344" spans="1:28" x14ac:dyDescent="0.3">
      <c r="A344" s="1" t="s">
        <v>359</v>
      </c>
      <c r="B344" s="1" t="s">
        <v>369</v>
      </c>
      <c r="C344" s="2">
        <v>45325</v>
      </c>
      <c r="D344" s="2">
        <v>45376</v>
      </c>
      <c r="E344" s="1" t="s">
        <v>376</v>
      </c>
      <c r="F344" s="1" t="s">
        <v>378</v>
      </c>
      <c r="G344" s="1" t="s">
        <v>385</v>
      </c>
      <c r="H344" s="1" t="s">
        <v>386</v>
      </c>
      <c r="I344">
        <v>62810.09</v>
      </c>
      <c r="J344">
        <v>617760</v>
      </c>
      <c r="K344">
        <v>9491</v>
      </c>
      <c r="L344">
        <v>1174</v>
      </c>
      <c r="M344">
        <v>144155.35</v>
      </c>
      <c r="N344" s="1" t="s">
        <v>389</v>
      </c>
      <c r="O344">
        <v>5</v>
      </c>
      <c r="P344" s="8">
        <v>1.5363571613571599E-2</v>
      </c>
      <c r="Q344" s="8">
        <v>0.123696133178801</v>
      </c>
      <c r="R344" s="1">
        <v>53.500928449744464</v>
      </c>
      <c r="S344" s="3">
        <v>2.2950986059723846</v>
      </c>
      <c r="T344" s="1">
        <v>81345.260000000009</v>
      </c>
      <c r="U344" s="2">
        <v>45376</v>
      </c>
      <c r="V344" s="10">
        <v>21.72</v>
      </c>
      <c r="W344">
        <v>51</v>
      </c>
      <c r="X344" s="3">
        <v>15.188636603097672</v>
      </c>
      <c r="Y344" s="7">
        <v>1.8691264413090318E-2</v>
      </c>
      <c r="Z344">
        <v>0.43571112691967401</v>
      </c>
      <c r="AA344"/>
      <c r="AB344"/>
    </row>
    <row r="345" spans="1:28" x14ac:dyDescent="0.3">
      <c r="A345" s="1" t="s">
        <v>360</v>
      </c>
      <c r="B345" s="1" t="s">
        <v>367</v>
      </c>
      <c r="C345" s="2">
        <v>45553</v>
      </c>
      <c r="D345" s="2">
        <v>45609</v>
      </c>
      <c r="E345" s="1" t="s">
        <v>376</v>
      </c>
      <c r="F345" s="1" t="s">
        <v>381</v>
      </c>
      <c r="G345" s="1" t="s">
        <v>385</v>
      </c>
      <c r="H345" s="1" t="s">
        <v>388</v>
      </c>
      <c r="I345">
        <v>38203.11</v>
      </c>
      <c r="J345">
        <v>885869</v>
      </c>
      <c r="K345">
        <v>1138</v>
      </c>
      <c r="L345">
        <v>978</v>
      </c>
      <c r="M345">
        <v>130261.09</v>
      </c>
      <c r="N345" s="1" t="s">
        <v>391</v>
      </c>
      <c r="O345">
        <v>7</v>
      </c>
      <c r="P345" s="8">
        <v>1.28461431656374E-3</v>
      </c>
      <c r="Q345" s="8">
        <v>0.85940246045694202</v>
      </c>
      <c r="R345" s="1">
        <v>39.062484662576686</v>
      </c>
      <c r="S345" s="3">
        <v>3.4096985821311403</v>
      </c>
      <c r="T345" s="1">
        <v>92057.98</v>
      </c>
      <c r="U345" s="2">
        <v>45609</v>
      </c>
      <c r="V345" s="10">
        <v>73.31</v>
      </c>
      <c r="W345">
        <v>56</v>
      </c>
      <c r="X345" s="3">
        <v>114.46492970123022</v>
      </c>
      <c r="Y345" s="7">
        <v>2.560001005153769E-2</v>
      </c>
      <c r="Z345">
        <v>0.29328105576269897</v>
      </c>
      <c r="AA345"/>
      <c r="AB345"/>
    </row>
    <row r="346" spans="1:28" x14ac:dyDescent="0.3">
      <c r="A346" s="1" t="s">
        <v>361</v>
      </c>
      <c r="B346" s="1" t="s">
        <v>370</v>
      </c>
      <c r="C346" s="2">
        <v>45344</v>
      </c>
      <c r="D346" s="2">
        <v>45499</v>
      </c>
      <c r="E346" s="1" t="s">
        <v>377</v>
      </c>
      <c r="F346" s="1" t="s">
        <v>378</v>
      </c>
      <c r="G346" s="1" t="s">
        <v>384</v>
      </c>
      <c r="H346" s="1" t="s">
        <v>386</v>
      </c>
      <c r="I346">
        <v>15839.1</v>
      </c>
      <c r="J346">
        <v>1016920</v>
      </c>
      <c r="K346">
        <v>1358</v>
      </c>
      <c r="L346">
        <v>990</v>
      </c>
      <c r="M346">
        <v>179486.36</v>
      </c>
      <c r="N346" s="1" t="s">
        <v>389</v>
      </c>
      <c r="O346">
        <v>9</v>
      </c>
      <c r="P346" s="8">
        <v>1.3354049482751801E-3</v>
      </c>
      <c r="Q346" s="8">
        <v>0.72901325478645096</v>
      </c>
      <c r="R346" s="1">
        <v>15.99909090909091</v>
      </c>
      <c r="S346" s="3">
        <v>11.331853451269327</v>
      </c>
      <c r="T346" s="1">
        <v>163647.25999999998</v>
      </c>
      <c r="U346" s="2">
        <v>45499</v>
      </c>
      <c r="V346" s="10">
        <v>67.22</v>
      </c>
      <c r="W346">
        <v>155</v>
      </c>
      <c r="X346" s="3">
        <v>132.16963181148748</v>
      </c>
      <c r="Y346" s="7">
        <v>6.2503551338144211E-2</v>
      </c>
      <c r="Z346">
        <v>8.8246817195468202E-2</v>
      </c>
      <c r="AA346"/>
      <c r="AB346"/>
    </row>
    <row r="347" spans="1:28" x14ac:dyDescent="0.3">
      <c r="A347" s="1" t="s">
        <v>362</v>
      </c>
      <c r="B347" s="1" t="s">
        <v>370</v>
      </c>
      <c r="C347" s="2">
        <v>45496</v>
      </c>
      <c r="D347" s="2">
        <v>45329</v>
      </c>
      <c r="E347" s="1" t="s">
        <v>374</v>
      </c>
      <c r="F347" s="1" t="s">
        <v>379</v>
      </c>
      <c r="G347" s="1" t="s">
        <v>383</v>
      </c>
      <c r="H347" s="1" t="s">
        <v>386</v>
      </c>
      <c r="I347">
        <v>19368.45</v>
      </c>
      <c r="J347">
        <v>896143</v>
      </c>
      <c r="K347">
        <v>10714</v>
      </c>
      <c r="L347">
        <v>1949</v>
      </c>
      <c r="M347">
        <v>138229.73000000001</v>
      </c>
      <c r="N347" s="1" t="s">
        <v>390</v>
      </c>
      <c r="O347">
        <v>4</v>
      </c>
      <c r="P347" s="8">
        <v>1.1955681180347301E-2</v>
      </c>
      <c r="Q347" s="8">
        <v>0.18191151764047001</v>
      </c>
      <c r="R347" s="1">
        <v>9.9376346844535668</v>
      </c>
      <c r="S347" s="3">
        <v>7.1368503932942495</v>
      </c>
      <c r="T347" s="1">
        <v>118861.28000000001</v>
      </c>
      <c r="U347" s="2">
        <v>45526</v>
      </c>
      <c r="V347" s="10">
        <v>23.34</v>
      </c>
      <c r="W347">
        <v>30</v>
      </c>
      <c r="X347" s="3">
        <v>12.901785514280382</v>
      </c>
      <c r="Y347" s="7">
        <v>0.1006275669968428</v>
      </c>
      <c r="Z347">
        <v>0.14011783138113601</v>
      </c>
      <c r="AA347"/>
      <c r="AB347"/>
    </row>
    <row r="348" spans="1:28" x14ac:dyDescent="0.3">
      <c r="A348" s="1" t="s">
        <v>363</v>
      </c>
      <c r="B348" s="1" t="s">
        <v>369</v>
      </c>
      <c r="C348" s="2">
        <v>45417</v>
      </c>
      <c r="D348" s="2">
        <v>45568</v>
      </c>
      <c r="E348" s="1" t="s">
        <v>373</v>
      </c>
      <c r="F348" s="1" t="s">
        <v>381</v>
      </c>
      <c r="G348" s="1" t="s">
        <v>382</v>
      </c>
      <c r="H348" s="1" t="s">
        <v>386</v>
      </c>
      <c r="I348">
        <v>26405.11</v>
      </c>
      <c r="J348">
        <v>1236464</v>
      </c>
      <c r="K348">
        <v>20840</v>
      </c>
      <c r="L348">
        <v>572</v>
      </c>
      <c r="M348">
        <v>139776.29999999999</v>
      </c>
      <c r="N348" s="1" t="s">
        <v>391</v>
      </c>
      <c r="O348">
        <v>9</v>
      </c>
      <c r="P348" s="8">
        <v>1.6854514162967901E-2</v>
      </c>
      <c r="Q348" s="8">
        <v>2.7447216890595E-2</v>
      </c>
      <c r="R348" s="1">
        <v>46.162779720279723</v>
      </c>
      <c r="S348" s="3">
        <v>5.2935321988812012</v>
      </c>
      <c r="T348" s="1">
        <v>113371.18999999999</v>
      </c>
      <c r="U348" s="2">
        <v>45568</v>
      </c>
      <c r="V348" s="10">
        <v>56.33</v>
      </c>
      <c r="W348">
        <v>151</v>
      </c>
      <c r="X348" s="3">
        <v>6.7071161228406906</v>
      </c>
      <c r="Y348" s="7">
        <v>2.1662473665135271E-2</v>
      </c>
      <c r="Z348">
        <v>0.188909779411817</v>
      </c>
      <c r="AA348"/>
      <c r="AB348"/>
    </row>
    <row r="349" spans="1:28" x14ac:dyDescent="0.3">
      <c r="A349" s="1" t="s">
        <v>364</v>
      </c>
      <c r="B349" s="1" t="s">
        <v>371</v>
      </c>
      <c r="C349" s="2">
        <v>45526</v>
      </c>
      <c r="D349" s="2">
        <v>45576</v>
      </c>
      <c r="E349" s="1" t="s">
        <v>373</v>
      </c>
      <c r="F349" s="1" t="s">
        <v>379</v>
      </c>
      <c r="G349" s="1" t="s">
        <v>384</v>
      </c>
      <c r="H349" s="1" t="s">
        <v>388</v>
      </c>
      <c r="I349">
        <v>28841.83</v>
      </c>
      <c r="J349">
        <v>127175</v>
      </c>
      <c r="K349">
        <v>35395</v>
      </c>
      <c r="L349">
        <v>1858</v>
      </c>
      <c r="M349">
        <v>113103.03</v>
      </c>
      <c r="N349" s="1" t="s">
        <v>391</v>
      </c>
      <c r="O349">
        <v>6</v>
      </c>
      <c r="P349" s="8">
        <v>0.27831727933949302</v>
      </c>
      <c r="Q349" s="8">
        <v>5.2493290012713703E-2</v>
      </c>
      <c r="R349" s="1">
        <v>15.523051668460711</v>
      </c>
      <c r="S349" s="3">
        <v>3.9214928456342748</v>
      </c>
      <c r="T349" s="1">
        <v>84261.2</v>
      </c>
      <c r="U349" s="2">
        <v>45576</v>
      </c>
      <c r="V349" s="10">
        <v>32.979999999999997</v>
      </c>
      <c r="W349">
        <v>50</v>
      </c>
      <c r="X349" s="3">
        <v>3.1954521825116542</v>
      </c>
      <c r="Y349" s="7">
        <v>6.4420322843592101E-2</v>
      </c>
      <c r="Z349">
        <v>0.255004927807858</v>
      </c>
      <c r="AA349"/>
      <c r="AB349"/>
    </row>
    <row r="350" spans="1:28" x14ac:dyDescent="0.3">
      <c r="A350" s="1" t="s">
        <v>365</v>
      </c>
      <c r="B350" s="1" t="s">
        <v>370</v>
      </c>
      <c r="C350" s="2">
        <v>45334</v>
      </c>
      <c r="D350" s="2">
        <v>45375</v>
      </c>
      <c r="E350" s="1" t="s">
        <v>377</v>
      </c>
      <c r="F350" s="1" t="s">
        <v>379</v>
      </c>
      <c r="G350" s="1" t="s">
        <v>382</v>
      </c>
      <c r="H350" s="1" t="s">
        <v>387</v>
      </c>
      <c r="I350">
        <v>85808.53</v>
      </c>
      <c r="J350">
        <v>638595</v>
      </c>
      <c r="K350">
        <v>31654</v>
      </c>
      <c r="L350">
        <v>1525</v>
      </c>
      <c r="M350">
        <v>84120.26</v>
      </c>
      <c r="N350" s="1" t="s">
        <v>389</v>
      </c>
      <c r="O350">
        <v>6</v>
      </c>
      <c r="P350" s="8">
        <v>4.95681926729774E-2</v>
      </c>
      <c r="Q350" s="8">
        <v>4.81771656030833E-2</v>
      </c>
      <c r="R350" s="1">
        <v>56.267888524590163</v>
      </c>
      <c r="S350" s="3">
        <v>0.98032514949271354</v>
      </c>
      <c r="T350" s="1">
        <v>-1688.2700000000041</v>
      </c>
      <c r="U350" s="2">
        <v>45375</v>
      </c>
      <c r="V350" s="10">
        <v>49.76</v>
      </c>
      <c r="W350">
        <v>41</v>
      </c>
      <c r="X350" s="3">
        <v>2.6574922600619195</v>
      </c>
      <c r="Y350" s="7">
        <v>1.7772125918017707E-2</v>
      </c>
      <c r="Z350">
        <v>1.02006971923292</v>
      </c>
      <c r="AA350"/>
      <c r="AB350"/>
    </row>
    <row r="351" spans="1:28" x14ac:dyDescent="0.3">
      <c r="A351" s="1" t="s">
        <v>366</v>
      </c>
      <c r="B351" s="1" t="s">
        <v>368</v>
      </c>
      <c r="C351" s="2">
        <v>45531</v>
      </c>
      <c r="D351" s="2">
        <v>45570</v>
      </c>
      <c r="E351" s="1" t="s">
        <v>372</v>
      </c>
      <c r="F351" s="1" t="s">
        <v>379</v>
      </c>
      <c r="G351" s="1" t="s">
        <v>382</v>
      </c>
      <c r="H351" s="1" t="s">
        <v>387</v>
      </c>
      <c r="I351">
        <v>58316.160000000003</v>
      </c>
      <c r="J351">
        <v>1407453</v>
      </c>
      <c r="K351">
        <v>26879</v>
      </c>
      <c r="L351">
        <v>480</v>
      </c>
      <c r="M351">
        <v>125743.45</v>
      </c>
      <c r="N351" s="1" t="s">
        <v>389</v>
      </c>
      <c r="O351">
        <v>8</v>
      </c>
      <c r="P351" s="8">
        <v>1.9097618179789999E-2</v>
      </c>
      <c r="Q351" s="8">
        <v>1.7857807210089699E-2</v>
      </c>
      <c r="R351" s="1">
        <v>121.492</v>
      </c>
      <c r="S351" s="3">
        <v>2.1562367961127755</v>
      </c>
      <c r="T351" s="1">
        <v>67427.289999999994</v>
      </c>
      <c r="U351" s="2">
        <v>45570</v>
      </c>
      <c r="W351">
        <v>39</v>
      </c>
      <c r="X351" s="3">
        <v>4.6781297667323933</v>
      </c>
      <c r="Y351" s="7">
        <v>8.2309946333914991E-3</v>
      </c>
      <c r="Z351">
        <v>0.46377095586291001</v>
      </c>
      <c r="AA351"/>
      <c r="AB35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1EFDA-EF96-425B-837F-8084D23C8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Pivot Table</vt:lpstr>
      <vt:lpstr>Dashboard</vt:lpstr>
      <vt:lpstr>Main_Table1</vt:lpstr>
      <vt:lpstr>Main_Table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Khushboomicro1522@outlook.com</cp:lastModifiedBy>
  <dcterms:created xsi:type="dcterms:W3CDTF">2025-10-27T14:04:49Z</dcterms:created>
  <dcterms:modified xsi:type="dcterms:W3CDTF">2025-11-08T10:37:41Z</dcterms:modified>
</cp:coreProperties>
</file>